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ks\Desktop\as_cat_ee\classifier_product\scheme - Copy\Data\"/>
    </mc:Choice>
  </mc:AlternateContent>
  <xr:revisionPtr revIDLastSave="0" documentId="13_ncr:1_{B1A2CE02-E836-4611-BAA2-F3003E87DA6F}" xr6:coauthVersionLast="47" xr6:coauthVersionMax="47" xr10:uidLastSave="{00000000-0000-0000-0000-000000000000}"/>
  <bookViews>
    <workbookView xWindow="1620" yWindow="3600" windowWidth="1596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2" i="1"/>
  <c r="B59" i="1"/>
  <c r="B60" i="1"/>
  <c r="B61" i="1"/>
  <c r="B62" i="1"/>
  <c r="B63" i="1"/>
  <c r="B64" i="1"/>
  <c r="B65" i="1"/>
  <c r="B66" i="1"/>
  <c r="B67" i="1"/>
  <c r="B68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<sst xmlns="http://schemas.openxmlformats.org/spreadsheetml/2006/main" count="808" uniqueCount="297">
  <si>
    <t>Reaction number</t>
  </si>
  <si>
    <t>Reaction ID</t>
  </si>
  <si>
    <t>Reaction: Links to Reaxys</t>
  </si>
  <si>
    <t>Reactant</t>
  </si>
  <si>
    <t>Product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</si>
  <si>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</si>
  <si>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</si>
  <si>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</si>
  <si>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</si>
  <si>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</si>
  <si>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</si>
  <si>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</si>
  <si>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</si>
  <si>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</si>
  <si>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</si>
  <si>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</si>
  <si>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</si>
  <si>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</si>
  <si>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</si>
  <si>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</si>
  <si>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</si>
  <si>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</si>
  <si>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</si>
  <si>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</si>
  <si>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</si>
  <si>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28455091</t>
  </si>
  <si>
    <t>https://www.reaxys.com/reaxys/secured/hopinto.do?context=R&amp;query=RX.ID%3D28455091&amp;database=RX&amp;origin=ReaxysOutput&amp;ln=</t>
  </si>
  <si>
    <t>4-methyl-chalcone</t>
  </si>
  <si>
    <t>(2R,3S)-epoxy-3-(4-methylphenyl)-1-phenylpropan-1-one</t>
  </si>
  <si>
    <t>1</t>
  </si>
  <si>
    <t>72</t>
  </si>
  <si>
    <t>Inert atmosphere</t>
  </si>
  <si>
    <t>enantioselective reaction</t>
  </si>
  <si>
    <t>92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</si>
  <si>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</si>
  <si>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</si>
  <si>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</si>
  <si>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</si>
  <si>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</si>
  <si>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</si>
  <si>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25921657</t>
  </si>
  <si>
    <t>https://www.reaxys.com/reaxys/secured/hopinto.do?context=R&amp;query=RX.ID%3D25921657&amp;database=RX&amp;origin=ReaxysOutput&amp;ln=</t>
  </si>
  <si>
    <t>3-(2-chlorophenyl)-1-phenylpropenone</t>
  </si>
  <si>
    <t>trans‐2,3‐epoxy‐3‐(2‐chlorophenyl)‐1‐phenylpropan‐1‐one; trans‐(2S,3R)‐2,3‐epoxy‐3‐(2‐chlorophenyl)‐1‐phenylpropan‐1‐one</t>
  </si>
  <si>
    <t>Overall yield = 32 percent; Overall yield = 33 mg</t>
  </si>
  <si>
    <t>28455092</t>
  </si>
  <si>
    <t>https://www.reaxys.com/reaxys/secured/hopinto.do?context=R&amp;query=RX.ID%3D28455092&amp;database=RX&amp;origin=ReaxysOutput&amp;ln=</t>
  </si>
  <si>
    <t>3-(4-chlorophenyl)-1-phenylprop-2-en-1-one</t>
  </si>
  <si>
    <t>((2R,3S)-3-(4-chlorophenyl)oxiran-2-yl) (phenyl)methanone</t>
  </si>
  <si>
    <t>91</t>
  </si>
  <si>
    <t>3763998</t>
  </si>
  <si>
    <t>https://www.reaxys.com/reaxys/secured/hopinto.do?context=R&amp;query=RX.ID%3D3763998&amp;database=RX&amp;origin=ReaxysOutput&amp;ln=</t>
  </si>
  <si>
    <t>1,3-diphenyl-propen-3-one</t>
  </si>
  <si>
    <t>trans-(2R,3S)-epoxy-1,3-diphenylpropan-1-one</t>
  </si>
  <si>
    <t>O=C(\C=C\C1=CC=CC=C1)C1=CC=CC=C1&gt;&gt;[H][C@]1(O[C@@]1([H])C1=CC=CC=C1)C(=O)C1=CC=CC=C1</t>
  </si>
  <si>
    <t>83</t>
  </si>
  <si>
    <t>33324923</t>
  </si>
  <si>
    <t>https://www.reaxys.com/reaxys/secured/hopinto.do?context=R&amp;query=RX.ID%3D33324923&amp;database=RX&amp;origin=ReaxysOutput&amp;ln=</t>
  </si>
  <si>
    <t>2-benzylidene-1-tetralone</t>
  </si>
  <si>
    <t>3′‐phenyl‐3,4‐dihydro‐1H-spiro(naphthalene‐2,2’‐oxiran)‐1‐one; (2S,3′R)‐3′‐phenyl‐3,4‐dihydro‐1H-spiro(naphthalene‐2,2’‐oxiran)‐1‐one</t>
  </si>
  <si>
    <t>Overall yield = 22 percent; Overall yield = 21.9 mg; enantioselective reaction</t>
  </si>
  <si>
    <t>28455098</t>
  </si>
  <si>
    <t>https://www.reaxys.com/reaxys/secured/hopinto.do?context=R&amp;query=RX.ID%3D28455098&amp;database=RX&amp;origin=ReaxysOutput&amp;ln=</t>
  </si>
  <si>
    <t>4-nitrochalcone</t>
  </si>
  <si>
    <t>(2S,3R)-epoxy-3-(4-nitrophenyl)-1-phenylpropan-1-one; (2R,3S)-[3-(p-nitrophenyl)oxiran-2-yl]phenylmethanone</t>
  </si>
  <si>
    <t>Overall yield = 80 percent; Overall yield = 86.3 mg; enantioselective reaction</t>
  </si>
  <si>
    <t>29530815</t>
  </si>
  <si>
    <t>https://www.reaxys.com/reaxys/secured/hopinto.do?context=R&amp;query=RX.ID%3D29530815&amp;database=RX&amp;origin=ReaxysOutput&amp;ln=</t>
  </si>
  <si>
    <t>3-nitrochalcone</t>
  </si>
  <si>
    <t>trans-(2R,3S)-epoxy-3-(3-nitrophenyl)-1-phenyl-1-propan-1-one; trans-(2S,3R)-epoxy-3-(3-nitrophenyl)-1-phenyl-1-propan-1-one</t>
  </si>
  <si>
    <t>Overall yield = 95 percent; Overall yield = 102.1 mg; enantioselective reaction</t>
  </si>
  <si>
    <t>29530818</t>
  </si>
  <si>
    <t>https://www.reaxys.com/reaxys/secured/hopinto.do?context=R&amp;query=RX.ID%3D29530818&amp;database=RX&amp;origin=ReaxysOutput&amp;ln=</t>
  </si>
  <si>
    <t>2-nitrochalcone</t>
  </si>
  <si>
    <t>trans-(2S,3R)-epoxy-3-(2-nitrophenyl)-1-phenyl-1-propan-1-one; trans-(2R,3S)-epoxy-3-(2-nitrophenyl)-1-phenyl-1-propan-1-one</t>
  </si>
  <si>
    <t>Overall yield = 14 percent; Overall yield = 15 mg</t>
  </si>
  <si>
    <t>31149970</t>
  </si>
  <si>
    <t>https://www.reaxys.com/reaxys/secured/hopinto.do?context=R&amp;query=RX.ID%3D31149970&amp;database=RX&amp;origin=ReaxysOutput&amp;ln=</t>
  </si>
  <si>
    <t>3-(4-bromophenyl)-1-phenylprop-2-en-1-one</t>
  </si>
  <si>
    <t>trans-(2R,3S)-epoxy-3-(4-bromophenyl)-1-phenylpropan-1-one</t>
  </si>
  <si>
    <t>95</t>
  </si>
  <si>
    <t>8745707</t>
  </si>
  <si>
    <t>https://www.reaxys.com/reaxys/secured/hopinto.do?context=R&amp;query=RX.ID%3D8745707&amp;database=RX&amp;origin=ReaxysOutput&amp;ln=</t>
  </si>
  <si>
    <t>3-methylcyclohexen-2-one</t>
  </si>
  <si>
    <t>(1S,6S)-6-methyl-7-oxabicyclo[4.1.0]heptan-2-one; (1R,6R)-6-methyl-7-oxabicyclo[4.1.0]heptan-2-one</t>
  </si>
  <si>
    <t>Overall yield = 33 percent; Overall yield = 49.0 mg</t>
  </si>
  <si>
    <t>31149989</t>
  </si>
  <si>
    <t>https://www.reaxys.com/reaxys/secured/hopinto.do?context=R&amp;query=RX.ID%3D31149989&amp;database=RX&amp;origin=ReaxysOutput&amp;ln=</t>
  </si>
  <si>
    <t>3-phenyl-1-p-tolylprop-2-en-1-one</t>
  </si>
  <si>
    <t>(αR,βS)-2,3-epoxy-4'-methyl-3-phenylpropiophenone</t>
  </si>
  <si>
    <t>73</t>
  </si>
  <si>
    <t>26056880</t>
  </si>
  <si>
    <t>https://www.reaxys.com/reaxys/secured/hopinto.do?context=R&amp;query=RX.ID%3D26056880&amp;database=RX&amp;origin=ReaxysOutput&amp;ln=</t>
  </si>
  <si>
    <t>2-Cyclohepten-1-one</t>
  </si>
  <si>
    <t>(1R,7R)-8-oxabicyclo[5.1.0]octan-2-one; (1S,7S)-8-oxabicyclo[5.1.0]octan-2-one</t>
  </si>
  <si>
    <t>O=C1CCCCC=C1&gt;&gt;O=C2CCCC[C@@H]3O[C@H]23</t>
  </si>
  <si>
    <t>Overall yield = 53 percent; Overall yield = 78.0 mg</t>
  </si>
  <si>
    <t>28455094</t>
  </si>
  <si>
    <t>https://www.reaxys.com/reaxys/secured/hopinto.do?context=R&amp;query=RX.ID%3D28455094&amp;database=RX&amp;origin=ReaxysOutput&amp;ln=</t>
  </si>
  <si>
    <t>3-(2-naphthalenyl)-1-phenylprop-2-en-1-one</t>
  </si>
  <si>
    <t>((2R,3S)-3-(naphthalen-2-yl)oxiran-2-yl) (phenyl)methanone</t>
  </si>
  <si>
    <t>86</t>
  </si>
  <si>
    <t>25921656</t>
  </si>
  <si>
    <t>https://www.reaxys.com/reaxys/secured/hopinto.do?context=R&amp;query=RX.ID%3D25921656&amp;database=RX&amp;origin=ReaxysOutput&amp;ln=</t>
  </si>
  <si>
    <t>3-(naphthalen-1-yl)-1-phenylprop-2-en-1-one</t>
  </si>
  <si>
    <t>((2S,3R)-3-(naphthalen-1-yl)oxiran-2-yl) (phenyl)methanone; ((2R,3S)-3-(naphthalen-1-yl)oxiran-2-yl) (phenyl)methanone</t>
  </si>
  <si>
    <t>Overall yield = 38 percent; Overall yield = 41.4 mg</t>
  </si>
  <si>
    <t>45852994</t>
  </si>
  <si>
    <t>https://www.reaxys.com/reaxys/secured/hopinto.do?context=R&amp;query=RX.ID%3D45852994&amp;database=RX&amp;origin=ReaxysOutput&amp;ln=</t>
  </si>
  <si>
    <t>4'-fluorochalcone</t>
  </si>
  <si>
    <t>trans-(2R,3S)-2,3-epoxy-3-phenyl-1-(4-fluorophenyl)propan-1-one</t>
  </si>
  <si>
    <t>29499525</t>
  </si>
  <si>
    <t>https://www.reaxys.com/reaxys/secured/hopinto.do?context=R&amp;query=RX.ID%3D29499525&amp;database=RX&amp;origin=ReaxysOutput&amp;ln=</t>
  </si>
  <si>
    <t>2-benzylidene-indan-1,3-dione</t>
  </si>
  <si>
    <t>(3S')-phenylspiro[indene-2,2′-oxirane]-1,3-dione; (3R')-phenylspiro[indene-2,2′-oxirane]-1,3-dione</t>
  </si>
  <si>
    <t>Overall yield = 87 percent; Overall yield = 86.7 mg</t>
  </si>
  <si>
    <t>56122996</t>
  </si>
  <si>
    <t>https://www.reaxys.com/reaxys/secured/hopinto.do?context=R&amp;query=RX.ID%3D56122996&amp;database=RX&amp;origin=ReaxysOutput&amp;ln=</t>
  </si>
  <si>
    <t>1-(2-furyl)-3-phenylpropen-1-one</t>
  </si>
  <si>
    <t>trans-(-)-2,3-Epoxy-3-phenyl-1-(2-furyl)propan-1-one</t>
  </si>
  <si>
    <t>77</t>
  </si>
  <si>
    <t>8749804</t>
  </si>
  <si>
    <t>https://www.reaxys.com/reaxys/secured/hopinto.do?context=R&amp;query=RX.ID%3D8749804&amp;database=RX&amp;origin=ReaxysOutput&amp;ln=</t>
  </si>
  <si>
    <t>4-methyl-1-phenyl-1-penten-3-one</t>
  </si>
  <si>
    <t>trans-(1S,2R)-1,2-epoxy-4-methyl-1-phenylpentan-3-one</t>
  </si>
  <si>
    <t>18</t>
  </si>
  <si>
    <t>57910466</t>
  </si>
  <si>
    <t>https://www.reaxys.com/reaxys/secured/hopinto.do?context=R&amp;query=RX.ID%3D57910466&amp;database=RX&amp;origin=ReaxysOutput&amp;ln=</t>
  </si>
  <si>
    <t>C17H12OS</t>
  </si>
  <si>
    <t>[(2R,3R)-3-(benzo[b]thien-2-yl)-2-oxiranyl](phenyl)methanone</t>
  </si>
  <si>
    <t>57910486</t>
  </si>
  <si>
    <t>https://www.reaxys.com/reaxys/secured/hopinto.do?context=R&amp;query=RX.ID%3D57910486&amp;database=RX&amp;origin=ReaxysOutput&amp;ln=</t>
  </si>
  <si>
    <t>3-phenyl-1-thiophen-2-yl-propenone</t>
  </si>
  <si>
    <t>(-)-2(R),3(S)-epoxy-3-phenyl-1-(2-thienyl)propan-1-one</t>
  </si>
  <si>
    <t>89</t>
  </si>
  <si>
    <t>57910488</t>
  </si>
  <si>
    <t>https://www.reaxys.com/reaxys/secured/hopinto.do?context=R&amp;query=RX.ID%3D57910488&amp;database=RX&amp;origin=ReaxysOutput&amp;ln=</t>
  </si>
  <si>
    <t>1-benzo[d]furan-2-yl-3-phenylprop-2-en-1-one</t>
  </si>
  <si>
    <t>[(2R,3S)-3-phenyloxiran-2-yl](benzofuran-2-yl)methanone</t>
  </si>
  <si>
    <t>97</t>
  </si>
  <si>
    <t>57910490</t>
  </si>
  <si>
    <t>https://www.reaxys.com/reaxys/secured/hopinto.do?context=R&amp;query=RX.ID%3D57910490&amp;database=RX&amp;origin=ReaxysOutput&amp;ln=</t>
  </si>
  <si>
    <t>[(2R,3S)-3-phenyloxiran-2-yl](benzo[b]thien-2-yl)methanone</t>
  </si>
  <si>
    <t>85</t>
  </si>
  <si>
    <t>57910459</t>
  </si>
  <si>
    <t>https://www.reaxys.com/reaxys/secured/hopinto.do?context=R&amp;query=RX.ID%3D57910459&amp;database=RX&amp;origin=ReaxysOutput&amp;ln=</t>
  </si>
  <si>
    <t>4-cyanochalcone</t>
  </si>
  <si>
    <t>(2R,3S)-epoxy-3-(4-cyanophenyl)-1-phenyl-propan-1-one</t>
  </si>
  <si>
    <t>76</t>
  </si>
  <si>
    <t>57910481</t>
  </si>
  <si>
    <t>https://www.reaxys.com/reaxys/secured/hopinto.do?context=R&amp;query=RX.ID%3D57910481&amp;database=RX&amp;origin=ReaxysOutput&amp;ln=</t>
  </si>
  <si>
    <t>1-(naphthalen-2-yl)-3-phenylprop-2-en-1-one</t>
  </si>
  <si>
    <t>trans‐2,3‐epoxy‐1‐(naphthalen‐2‐yl)‐3‐phenylpropan‐1‐one</t>
  </si>
  <si>
    <t>80</t>
  </si>
  <si>
    <t>57910497</t>
  </si>
  <si>
    <t>https://www.reaxys.com/reaxys/secured/hopinto.do?context=R&amp;query=RX.ID%3D57910497&amp;database=RX&amp;origin=ReaxysOutput&amp;ln=</t>
  </si>
  <si>
    <t>3-(4-chlorophenyl)-1-(4-fluorophenyl)prop-2-en-1-one</t>
  </si>
  <si>
    <t>trans-2,3-epoxy-3-(4-chlorophenyl)-1-(4-fluorophenyl)-propan-1-one</t>
  </si>
  <si>
    <t>81</t>
  </si>
  <si>
    <t>57910468</t>
  </si>
  <si>
    <t>https://www.reaxys.com/reaxys/secured/hopinto.do?context=R&amp;query=RX.ID%3D57910468&amp;database=RX&amp;origin=ReaxysOutput&amp;ln=</t>
  </si>
  <si>
    <t>cinnamylideneacetophenone</t>
  </si>
  <si>
    <t>phenyl[(2R,3S)-3-[(1E)-2-phenylethenyl]oxiran-2-yl]methanone</t>
  </si>
  <si>
    <t>57910469</t>
  </si>
  <si>
    <t>https://www.reaxys.com/reaxys/secured/hopinto.do?context=R&amp;query=RX.ID%3D57910469&amp;database=RX&amp;origin=ReaxysOutput&amp;ln=</t>
  </si>
  <si>
    <t>1-phenyl-(2E,4E)-hexadiene-1-one</t>
  </si>
  <si>
    <t>phenyl[(2R,3S)-3-[(1E)-prop-1-en-1-yl]oxiran-2-yl]methanone</t>
  </si>
  <si>
    <t>C\C=C\C=C\C(=O)C1=CC=CC=C1&gt;&gt;C\C=C\[C@@H]1O[C@H]1C(=O)C1=CC=CC=C1</t>
  </si>
  <si>
    <t>74</t>
  </si>
  <si>
    <t>57910477</t>
  </si>
  <si>
    <t>https://www.reaxys.com/reaxys/secured/hopinto.do?context=R&amp;query=RX.ID%3D57910477&amp;database=RX&amp;origin=ReaxysOutput&amp;ln=</t>
  </si>
  <si>
    <t>1-(2-methyl-phenyl)-3-phenyl-2-propen-1-one</t>
  </si>
  <si>
    <t>(2R,3S)-2,3-epoxy-1-(2-methylphenyl)-3-phenylpropan-1-one</t>
  </si>
  <si>
    <t>68</t>
  </si>
  <si>
    <t>48829264</t>
  </si>
  <si>
    <t>https://www.reaxys.com/reaxys/secured/hopinto.do?context=R&amp;query=RX.ID%3D48829264&amp;database=RX&amp;origin=ReaxysOutput&amp;ln=</t>
  </si>
  <si>
    <t>3-(4-(trifluoromethyl)phenyl)-1-phenylprop-2-en-1-one</t>
  </si>
  <si>
    <t>((2S,3R)-3-(4-(trifluoromethyl)phenyl)oxiran-2-yl)(phenyl)methanone; (-)-(1S,2R)-1,2-Epoxy-3-phenyl-1-(4-trifluoromethylphenyl)propan-3-one</t>
  </si>
  <si>
    <t>Overall yield = 85 percent; Overall yield = 99.8 mg; enantioselective reaction</t>
  </si>
  <si>
    <t>57910501</t>
  </si>
  <si>
    <t>https://www.reaxys.com/reaxys/secured/hopinto.do?context=R&amp;query=RX.ID%3D57910501&amp;database=RX&amp;origin=ReaxysOutput&amp;ln=</t>
  </si>
  <si>
    <t>3-(4-fluorophenyl)-1-(4-nitrophenyl)prop-2-en-1-one</t>
  </si>
  <si>
    <t>[(2R,3S)-3-(4-fluorophenyl)-2-oxiranyl](4-nitrophenyl)methanone</t>
  </si>
  <si>
    <t>44</t>
  </si>
  <si>
    <t>29530822</t>
  </si>
  <si>
    <t>https://www.reaxys.com/reaxys/secured/hopinto.do?context=R&amp;query=RX.ID%3D29530822&amp;database=RX&amp;origin=ReaxysOutput&amp;ln=</t>
  </si>
  <si>
    <t>3-methoxy-chalcone</t>
  </si>
  <si>
    <t>(2S,3R)-2,3-epoxy-3-(3-methoxyphenyl)-1-phenylpropan-1-one; (2R,3S)-2,3-epoxy-3-(3-methoxyphenyl)-1-phenylpropan-1-one</t>
  </si>
  <si>
    <t>Overall yield = 68 percent; Overall yield = 69.2 mg; enantioselective reaction</t>
  </si>
  <si>
    <t>57910484</t>
  </si>
  <si>
    <t>https://www.reaxys.com/reaxys/secured/hopinto.do?context=R&amp;query=RX.ID%3D57910484&amp;database=RX&amp;origin=ReaxysOutput&amp;ln=</t>
  </si>
  <si>
    <t>1-(2-N-methylpyrrolyl)-3-phenylpropen-2-en-1-one</t>
  </si>
  <si>
    <t>(1-methyl-1H-pyrrol-2-yl)[(2R,3S)-3-phenyl-2-oxiranyl]methanone</t>
  </si>
  <si>
    <t>56122997</t>
  </si>
  <si>
    <t>https://www.reaxys.com/reaxys/secured/hopinto.do?context=R&amp;query=RX.ID%3D56122997&amp;database=RX&amp;origin=ReaxysOutput&amp;ln=</t>
  </si>
  <si>
    <t>styryl 1-naphthyl ketone</t>
  </si>
  <si>
    <t>trans-2,3-epoxy-1-(naphth-1-yl)-3-phenylpropan-1-one; trans-2,3-epoxy-1-(naphth-1-yl)-3-phenylpropan-1-one</t>
  </si>
  <si>
    <t>Overall yield = 38 percent; Overall yield = 42.3 mg; enantioselective reaction</t>
  </si>
  <si>
    <t>57910471</t>
  </si>
  <si>
    <t>https://www.reaxys.com/reaxys/secured/hopinto.do?context=R&amp;query=RX.ID%3D57910471&amp;database=RX&amp;origin=ReaxysOutput&amp;ln=</t>
  </si>
  <si>
    <t>2-(cyclohex-2-en-1-ylidene)-1-phenylethanone</t>
  </si>
  <si>
    <t>2‐[(1S,2E,6R)‐7‐oxabicyclo[4.1.0]heptan‐2‐ylidene]‐1‐phenylethan‐1‐one; 2‐(7‐oxabicyclo[4.1.0]heptan‐2‐ylidene)‐1‐phenylethan‐1‐one</t>
  </si>
  <si>
    <t>Overall yield = 14 percent; Overall yield = 12.1 mg; stereoselective reaction</t>
  </si>
  <si>
    <t>57910473</t>
  </si>
  <si>
    <t>https://www.reaxys.com/reaxys/secured/hopinto.do?context=R&amp;query=RX.ID%3D57910473&amp;database=RX&amp;origin=ReaxysOutput&amp;ln=</t>
  </si>
  <si>
    <t>1-phenyl-4-methyl-2-penten-1-one</t>
  </si>
  <si>
    <t>((2R,3S)-3-isopropyloxiran-2-yl)(phenyl)methanone</t>
  </si>
  <si>
    <t>Overall yield = 39 percent; Overall yield = 30.0 mg; enantioselective reaction</t>
  </si>
  <si>
    <t>57910499</t>
  </si>
  <si>
    <t>https://www.reaxys.com/reaxys/secured/hopinto.do?context=R&amp;query=RX.ID%3D57910499&amp;database=RX&amp;origin=ReaxysOutput&amp;ln=</t>
  </si>
  <si>
    <t>4'-Nitro-4-methyl-chalkon</t>
  </si>
  <si>
    <t>[(2R,3S)-3-(4-methylphenyl)-2-oxiranyl](4-nitrophenyl)methanone; [(2S,3R)-3-(4-methylphenyl)-2-oxiranyl](4-nitrophenyl)methanone</t>
  </si>
  <si>
    <t>Overall yield = 29 percent; Overall yield = 33.0 mg</t>
  </si>
  <si>
    <t>57910503</t>
  </si>
  <si>
    <t>https://www.reaxys.com/reaxys/secured/hopinto.do?context=R&amp;query=RX.ID%3D57910503&amp;database=RX&amp;origin=ReaxysOutput&amp;ln=</t>
  </si>
  <si>
    <t>3-(4-chlorophenyl)-1-(4-nitrophenyl)-2-propen-1-one</t>
  </si>
  <si>
    <t>[(2R,3S)-3-(4-chlorophenyl)-2-oxiranyl](4-nitrophenyl)methanone; [(2S,3R)-3-(4-chlorophenyl)-2-oxiranyl](4-nitrophenyl)methanone</t>
  </si>
  <si>
    <t>Overall yield = 74 percent; Overall yield = 89.4 mg; enantioselective reaction</t>
  </si>
  <si>
    <t>57910505</t>
  </si>
  <si>
    <t>https://www.reaxys.com/reaxys/secured/hopinto.do?context=R&amp;query=RX.ID%3D57910505&amp;database=RX&amp;origin=ReaxysOutput&amp;ln=</t>
  </si>
  <si>
    <t>1,4-diphenyl-but-2-ene-1,4-dione</t>
  </si>
  <si>
    <t>trans-(2R,3R)-2,3-epoxy-1,4-diphenylbutane-1,4-dione; trans-(2R,3R)-2,3-epoxy-1,4-diphenylbutane-1,4-dione</t>
  </si>
  <si>
    <t>Overall yield = 65 percent; Overall yield = 65.4 mg</t>
  </si>
  <si>
    <t>57910507</t>
  </si>
  <si>
    <t>https://www.reaxys.com/reaxys/secured/hopinto.do?context=R&amp;query=RX.ID%3D57910507&amp;database=RX&amp;origin=ReaxysOutput&amp;ln=</t>
  </si>
  <si>
    <t>Non-3-en-2-on</t>
  </si>
  <si>
    <t>1-[(2R,3S)-3-pentyl-2-oxiranyl]ethanone; 1-((2S,3R)-3-pentyloxiran-2-yl)ethanone</t>
  </si>
  <si>
    <t>Overall yield = 88 percent; Overall yield = 166.0 mg; enantioselective reaction</t>
  </si>
  <si>
    <t>O=C(/C=C/C1=CC=C(OC2=CC=CC=C2)C=C1)C3=CC=CC=C3&gt;&gt;O=C([C@H](O4)[C@@H]4C5=CC=C(OC6=CC=CC=C6)C=C5)C7=CC=CC=C7</t>
  </si>
  <si>
    <t>O=C(/C=C/C1=CC=C(CC(C)C)C=C1)C2=CC=CC=C2&gt;&gt;O=C([C@H](O3)[C@@H]3C4=CC=C(CC(C)C)C=C4)C5=CC=CC=C5</t>
  </si>
  <si>
    <t>O=C(/C=C/C1=CC=C(C=C(OC)C=C2)C2=C1)C3=CC=CC=C3&gt;&gt;O=C([C@H](O4)[C@@H]4C5=CC=C(C=C(OC)C=C6)C6=C5)C7=CC=CC=C7</t>
  </si>
  <si>
    <t>O=C(/C=C/C1=CC=CC=C1)C(C)(C)C&gt;&gt;O=C([C@H]2[C@@H](O2)C3=CC=CC=C3)C(C)(C)C</t>
  </si>
  <si>
    <t>O=C(/C=C/C1=CC=C(OC)C=C1)C(C)(C)C&gt;&gt;O=C([C@H]2[C@@H](O2)C3=CC=C(OC)C=C3)C(C)(C)C</t>
  </si>
  <si>
    <t>O=C(/C=C/C1=CC=CC=C1)C2CCCCC2&gt;&gt;O=C([C@H]3[C@@H](O3)C4=CC=CC=C4)C5CCCCC5</t>
  </si>
  <si>
    <t>O=C(/C=C/C1=CC=C(OC)C=C1)OCC&gt;&gt;O=C([C@H]2[C@@H](O2)C3=CC=C(OC)C=C3)OCC</t>
  </si>
  <si>
    <t>O=C(/C=C/C1=CC=C(Br)C=C1)OCC&gt;&gt;O=C([C@H]2[C@@H](O2)C3=CC=C(Br)C=C3)OCC</t>
  </si>
  <si>
    <t>O=C(/C=C/C1=CC=CC=C1)C2=CC=CN=C2&gt;&gt;O=C([C@H](O3)[C@@H]3C4=CC=CC=C4)C5=CC=CN=C5</t>
  </si>
  <si>
    <t>epox_cla</t>
  </si>
  <si>
    <t>CC1=CC=C(/C=C/C(C2=CC=CC=C2)=O)C=C1&gt;&gt;CC3=CC=C(C=C3)[C@@H]4O[C@H]4C(C5=CC=CC=C5)=O</t>
  </si>
  <si>
    <t>ClC1=CC=C(C=C1)/C=C/C(C2=CC=CC=C2)=O&gt;&gt;ClC3=CC=C([C@@H]4O[C@H]4C(C5=CC=CC=C5)=O)C=C3</t>
  </si>
  <si>
    <t>O=C1/C(CCC2=C1C=CC=C2)=C/C3=CC=CC=C3&gt;&gt;O=C4C5=CC=CC=C5CC[C@]46O[C@H]6C7=CC=CC=C7</t>
  </si>
  <si>
    <t>BrC1=CC=C(C=C1)/C=C/C(C2=CC=CC=C2)=O&gt;&gt;BrC3=CC=C([C@@H]4O[C@H]4C(C5=CC=CC=C5)=O)C=C3</t>
  </si>
  <si>
    <t>CC1=CC(CCC1)=O&gt;&gt;O=C2CCC[C@]3(C)O[C@@H]32</t>
  </si>
  <si>
    <t>CC1=CC=C(C(/C=C/C2=CC=CC=C2)=O)C=C1&gt;&gt;CC3=CC=C(C([C@@H]4O[C@H]4C5=CC=CC=C5)=O)C=C3</t>
  </si>
  <si>
    <t>O=C(C1=CC=CC=C1)/C=C/C2=CC3=CC=CC=C3C=C2&gt;&gt;O=C(C4=CC=CC=C4)[C@@H]5O[C@H]5C6=CC7=C(C=C6)C=CC=C7</t>
  </si>
  <si>
    <t>O=C(/C=C/C1=C2C=CC=CC2=CC=C1)C3=CC=CC=C3&gt;&gt;O=C([C@@H]4O[C@H]4C5=C6C=CC=CC6=CC=C5)C7=CC=CC=C7</t>
  </si>
  <si>
    <t>FC1=CC=C(C(/C=C/C2=CC=CC=C2)=O)C=C1&gt;&gt;FC3=CC=C(C([C@@H]4O[C@H]4C5=CC=CC=C5)=O)C=C3</t>
  </si>
  <si>
    <t>O=C1/C(C(C2=CC=CC=C12)=O)=C\C3=CC=CC=C3&gt;&gt;O=C4C5=C(C=CC=C5)C(C46O[C@@H]6C7=CC=CC=C7)=O</t>
  </si>
  <si>
    <t>O=C(C1=CC=CO1)/C=C/C2=CC=CC=C2&gt;&gt;O=C(C3=CC=CO3)[C@@H]4O[C@H]4C5=CC=CC=C5</t>
  </si>
  <si>
    <t>CC(C(/C=C/C1=CC=CC=C1)=O)C&gt;&gt;CC(C([C@@H]2O[C@H]2C3=CC=CC=C3)=O)C</t>
  </si>
  <si>
    <t>O=C(C1=CC=CC=C1)/C=C/C2=CC3=CC=CC=C3S2&gt;&gt;O=C(C4=CC=CC=C4)[C@H](O5)[C@@H]5C6=CC7=CC=CC=C7S6</t>
  </si>
  <si>
    <t>O=C(C1=CC=CS1)/C=C/C2=CC=CC=C2&gt;&gt;O=C(C3=CC=CS3)[C@@H]4O[C@H]4C5=CC=CC=C5</t>
  </si>
  <si>
    <t>O=C(C1=CC2=C(C=CC=C2)O1)/C=C/C3=CC=CC=C3&gt;&gt;O=C(C4=CC5=CC=CC=C5O4)[C@@H]6O[C@H]6C7=CC=CC=C7</t>
  </si>
  <si>
    <t>O=C(C1=CC2=C(C=CC=C2)S1)/C=C/C3=CC=CC=C3&gt;&gt;O=C(C4=CC5=CC=CC=C5S4)[C@@H]6O[C@H]6C7=CC=CC=C7</t>
  </si>
  <si>
    <t>O=C(C1=CC=CC=C1)/C=C/C2=CC=C(C#N)C=C2&gt;&gt;O=C(C3=CC=CC=C3)[C@@H]4O[C@H]4C5=CC=C(C#N)C=C5</t>
  </si>
  <si>
    <t>O=C(C1=CC2=C(C=C1)C=CC=C2)/C=C/C3=CC=CC=C3&gt;&gt;O=C(C4=CC=C5C=CC=CC5=C4)[C@@H]6O[C@H]6C7=CC=CC=C7</t>
  </si>
  <si>
    <t>FC1=CC=C(C(/C=C/C2=CC=C(C=C2)Cl)=O)C=C1&gt;&gt;FC3=CC=C(C([C@@H]4O[C@H]4C5=CC=C(C=C5)Cl)=O)C=C3</t>
  </si>
  <si>
    <t>O=C(C1=CC=CC=C1)/C=C/C=C/C2=CC=CC=C2&gt;&gt;O=C(C3=CC=CC=C3)[C@@H]4O[C@H]4/C=C/C5=CC=CC=C5</t>
  </si>
  <si>
    <t>CC1=CC=CC=C1C(/C=C/C2=CC=CC=C2)=O&gt;&gt;CC3=CC=CC=C3C([C@@H]4O[C@H]4C5=CC=CC=C5)=O</t>
  </si>
  <si>
    <t>FC(C1=CC=C(/C=C/C(C2=CC=CC=C2)=O)C=C1)(F)F&gt;&gt;FC(C3=CC=C(C=C3)[C@@H]4O[C@H]4C(C5=CC=CC=C5)=O)(F)F</t>
  </si>
  <si>
    <t>COC1=CC(/C=C/C(C2=CC=CC=C2)=O)=CC=C1&gt;&gt;COC3=CC([C@@H]4O[C@H]4C(C5=CC=CC=C5)=O)=CC=C3</t>
  </si>
  <si>
    <t>CN1C=CC=C1C(/C=C/C2=CC=CC=C2)=O&gt;&gt;CN3C=CC=C3C([C@@H]4O[C@H]4C5=CC=CC=C5)=O</t>
  </si>
  <si>
    <t>O=C(/C=C/C1=CC=CC=C1)C2=CC=CC3=C2C=CC=C3&gt;&gt;O=C([C@@H]4O[C@H]4C5=CC=CC=C5)C6=C7C=CC=CC7=CC=C6</t>
  </si>
  <si>
    <t>O=C(/C=C1CCCC=C\1)C2=CC=CC=C2&gt;&gt;[H][C@@]34CCC/C([C@]3([H])O4)=C\C(C5=CC=CC=C5)=O</t>
  </si>
  <si>
    <t>CC(C)/C=C/C(C1=CC=CC=C1)=O&gt;&gt;CC(C)[C@@H]2O[C@H]2C(C3=CC=CC=C3)=O</t>
  </si>
  <si>
    <t>O=C(/C=C/C(C1=CC=CC=C1)=O)C2=CC=CC=C2&gt;&gt;O=C([C@@H]3O[C@H]3C(C4=CC=CC=C4)=O)C5=CC=CC=C5</t>
  </si>
  <si>
    <t>CCCCC/C=C/C(C)=O&gt;&gt;CCCCC[C@@H]1O[C@H]1C(C)=O</t>
  </si>
  <si>
    <t>O=C1C(C)=CCCC1&gt;&gt;O=C2[C@@]3([C@H](CCC2)O3)C</t>
  </si>
  <si>
    <t>CC1=CC=CC=C1/C=C/C(C2=CC=CC=C2)=O&gt;&gt;CC3=CC=CC=C3[C@@H]4O[C@H]4C(C5=CC=CC=C5)=O</t>
  </si>
  <si>
    <t>O=C(C1=CC=CC=C1)/C=C/C2=CC=CC=C2OC&gt;&gt;O=C(C3=CC=CC=C3)[C@@H]4O[C@H]4C5=CC=CC=C5OC</t>
  </si>
  <si>
    <t>O=C(C1=CC=CC=C1)/C=C/C2=CC=C(C=C2)OC&gt;&gt;O=C(C3=CC=CC=C3)[C@@H]4O[C@H]4C5=CC=C(C=C5)OC</t>
  </si>
  <si>
    <t>O=C(C1=CC=CC=C1)/C=C/C2=CC=CO2&gt;&gt;O=C(C3=CC=CC=C3)[C@H]4O[C@H]4C5=CC=CO5</t>
  </si>
  <si>
    <t>O=C(C1=CC=CC=C1)/C=C/C2=CC=CN2&gt;&gt;O=C(C3=CC=CC=C3)[C@@H]4O[C@H]4C5=CC=CN5</t>
  </si>
  <si>
    <t>O=C(C1=CC=CC=C1)/C=C/C2=CC=CS2&gt;&gt;O=C(C3=CC=CC=C3)[C@@H]4O[C@@H]4C5=CC=CS5</t>
  </si>
  <si>
    <t>O=C(C1=CC=CC=C1)/C=C2CCCCCC\2&gt;&gt;O=C(C3=CC=CC=C3)[C@@H]4OC45CCCCCC5</t>
  </si>
  <si>
    <t>CCCCCCC(/C=C/C1=CC=CC=C1)=O&gt;&gt;CCCCCCC([C@@H]2O[C@H]2C3=CC=CC=C3)=O</t>
  </si>
  <si>
    <t>O=C1CCC(C2=CC=CC=C2)=C1&gt;&gt;O=C3CC[C@@]4([C@@H]3O4)C5=CC=CC=C5</t>
  </si>
  <si>
    <t>CC1=CC=C(C=C1)C(/C=C/C2=C(C=C(C=C2C)C)C)=O&gt;&gt;CC3=CC=C(C=C3)C([C@@H]4O[C@H]4C5=C(C=C(C=C5C)C)C)=O</t>
  </si>
  <si>
    <t>O=C(C1=CC=C(C=C1)[N+]([O-])=O)/C=C/C2=C(C=C(C=C2C)C)C&gt;&gt;O=C(C3=CC=C(C=C3)[N+]([O-])=O)[C@@H]4O[C@H]4C5=C(C=C(C=C5C)C)C</t>
  </si>
  <si>
    <t>O=C(/C1=C\C2=CC=CC=C2)CCCC1=O&gt;&gt;O=C(C34[C@@H](C5=CC=CC=C5)O3)CCCC4=O</t>
  </si>
  <si>
    <t>O=C(/C1=C/C2=CC=CC=C2)C=CC1=O&gt;&gt;O=C(C(O3)4[C@H]3C5=CC=CC=C5)C=CC4=O</t>
  </si>
  <si>
    <t>O=S(C1=CC=CC=C1)(/C=C/C2=CC=CC=C2)=O&gt;&gt;O=S(C3=CC=CC=C3)([C@H]4O[C@H]4C5=CC=CC=C5)=O</t>
  </si>
  <si>
    <t>O=[N+]([O-])/C=C/C1=CC=CC=C1&gt;&gt;O=[N+]([O-])[C@H]2[C@H](C3=CC=CC=C3)O2</t>
  </si>
  <si>
    <t>O=C(C1=CC=CC=C1)C/C=C/C2=CC=CC=C2&gt;&gt;O=C(C3=CC=CC=C3)C[C@@H]4[C@@H](O4)C5=CC=CC=C5</t>
  </si>
  <si>
    <t>OC/C=C/C1=CC=CC=C1&gt;&gt;OC[C@@H]2[C@@H](O2)C3=CC=CC=C3</t>
  </si>
  <si>
    <t>CC(C1=CC[C@@]2([C@@]1(CC[C@]3([C@]2(CC=C4[C@@]3(CC[C@@H](C4)OC(C)=O)C)[H])[H])C)[H])=O&gt;&gt;CC([C@@]56[C@H](C[C@@]7([C@@]6(CC[C@]8([C@]7(CC=C9[C@@]8(CC[C@@H](C9)OC(C)=O)C)[H])[H])C)[H])O5)=O</t>
  </si>
  <si>
    <t>ClC1=CC=CC=C1/C=C/C(C2=CC=CC=C2)=O&gt;&gt;ClC3=CC=CC=C3[C@@H]4[C@@H](C(C5=CC=CC=C5)=O)O4</t>
  </si>
  <si>
    <t>O=C(C1=CC=CC=C1)/C=C/C2=CC=CC([N+]([O-])=O)=C2&gt;&gt;O=C(C3=CC=CC=C3)[C@@H]4O[C@H]4C5=CC=CC([N+]([O-])=O)=C5</t>
  </si>
  <si>
    <t>O=C(C1=CC=CC=C1)/C=C/C2=CC=CC=C2[N+]([O-])=O&gt;&gt;O=C(C3=CC=CC=C3)[C@H]4O[C@@H]4C5=C([N+]([O-])=O)C=CC=C5</t>
  </si>
  <si>
    <t>FC1=CC=C(/C=C/C(C2=CC=C(C=C2)[N+]([O-])=O)=O)C=C1&gt;&gt;FC3=CC=C(C=C3)[C@@H]4O[C@H]4C(C5=CC=C(C=C5)[N+]([O-])=O)=O</t>
  </si>
  <si>
    <t>CC1=CC=C(C=C1)/C=C/C(C2=CC=C([N+]([O-])=O)C=C2)=O&gt;&gt;CC3=CC=C([C@@H]4O[C@H]4C(C5=CC=C([N+]([O-])=O)C=C5)=O)C=C3</t>
  </si>
  <si>
    <t>ClC1=CC=C(/C=C/C(C2=CC=C(C=C2)[N+]([O-])=O)=O)C=C1&gt;&gt;ClC3=CC=C(C=C3)[C@@H]4O[C@H]4C(C5=CC=C(C=C5)[N+]([O-])=O)=O</t>
  </si>
  <si>
    <t>O=C(C1=CC=CC=C1)/C=C/C2=CC=C([N+]([O-])=O)C=C2&gt;&gt;O=C(C3=CC=CC=C3)[C@@H]4O[C@H]4C5=CC=C([N+]([O-])=O)C=C5</t>
  </si>
  <si>
    <t>SMILES</t>
  </si>
  <si>
    <t>O=C3CC[C@@]4([C@@H]3O4)C5=CC=CC=C5</t>
  </si>
  <si>
    <t>O=C3CCC4(C3O4)C5=CC=CC=C5</t>
  </si>
  <si>
    <t>SMILES_substrate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</si>
</sst>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"/>
  <sheetViews>
    <sheetView tabSelected="1" topLeftCell="A25" workbookViewId="0">
      <selection activeCell="B2" sqref="B2"/>
    </sheetView>
  </sheetViews>
  <sheetFormatPr defaultRowHeight="14.4" x14ac:dyDescent="0.3"/>
  <cols>
    <col min="2" max="2" width="84.5546875" style="3" bestFit="1" customWidth="1"/>
    <col min="3" max="3" width="88.109375" style="3" bestFit="1" customWidth="1"/>
    <col min="16" max="16" width="3.33203125" bestFit="1" customWidth="1"/>
  </cols>
  <sheetData>
    <row r="1" spans="1:28" x14ac:dyDescent="0.3">
      <c r="A1" t="s">
        <v>0</v>
      </c>
      <c r="B1" s="2" t="s">
        <v>296</v>
      </c>
      <c r="C1" s="2" t="s">
        <v>293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237</v>
      </c>
      <c r="P1" s="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3">
      <c r="A2">
        <v>1</v>
      </c>
      <c r="B2" s="2" t="str">
        <f>_xlfn.TEXTBEFORE(H2, "&gt;&gt;")</f>
        <v>CC1=CC=C(/C=C/C(C2=CC=CC=C2)=O)C=C1</v>
      </c>
      <c r="C2" s="2" t="str">
        <f>_xlfn.TEXTAFTER(H2,"&gt;&gt;")</f>
        <v>CC3=CC=C(C=C3)[C@@H]4O[C@H]4C(C5=CC=CC=C5)=O</v>
      </c>
      <c r="D2" t="s">
        <v>25</v>
      </c>
      <c r="E2" t="s">
        <v>26</v>
      </c>
      <c r="F2" t="s">
        <v>27</v>
      </c>
      <c r="G2" t="s">
        <v>28</v>
      </c>
      <c r="H2" t="s">
        <v>238</v>
      </c>
      <c r="I2" t="s">
        <v>29</v>
      </c>
      <c r="J2" t="s">
        <v>30</v>
      </c>
      <c r="K2">
        <v>0</v>
      </c>
      <c r="L2" t="s">
        <v>31</v>
      </c>
      <c r="M2" t="s">
        <v>32</v>
      </c>
      <c r="N2" t="s">
        <v>33</v>
      </c>
      <c r="O2">
        <f>IF(P2&gt;0,1,0)</f>
        <v>1</v>
      </c>
      <c r="P2" s="1">
        <v>92</v>
      </c>
      <c r="Q2">
        <v>96</v>
      </c>
      <c r="R2">
        <v>4</v>
      </c>
      <c r="S2" t="s">
        <v>34</v>
      </c>
      <c r="T2" t="s">
        <v>35</v>
      </c>
      <c r="U2" t="s">
        <v>36</v>
      </c>
      <c r="V2">
        <v>12</v>
      </c>
      <c r="W2">
        <v>20</v>
      </c>
      <c r="X2">
        <v>2.4E-2</v>
      </c>
      <c r="Y2">
        <v>0.2</v>
      </c>
      <c r="Z2" t="s">
        <v>37</v>
      </c>
      <c r="AA2" t="s">
        <v>38</v>
      </c>
      <c r="AB2" t="s">
        <v>39</v>
      </c>
    </row>
    <row r="3" spans="1:28" x14ac:dyDescent="0.3">
      <c r="A3">
        <v>2</v>
      </c>
      <c r="B3" s="2" t="str">
        <f t="shared" ref="B3:B64" si="0">_xlfn.TEXTBEFORE(H3, "&gt;&gt;")</f>
        <v>ClC1=CC=CC=C1/C=C/C(C2=CC=CC=C2)=O</v>
      </c>
      <c r="C3" s="2" t="str">
        <f t="shared" ref="C3:C66" si="1">_xlfn.TEXTAFTER(H3,"&gt;&gt;")</f>
        <v>ClC3=CC=CC=C3[C@@H]4[C@@H](C(C5=CC=CC=C5)=O)O4</v>
      </c>
      <c r="D3" t="s">
        <v>40</v>
      </c>
      <c r="E3" t="s">
        <v>41</v>
      </c>
      <c r="F3" t="s">
        <v>42</v>
      </c>
      <c r="G3" t="s">
        <v>43</v>
      </c>
      <c r="H3" t="s">
        <v>286</v>
      </c>
      <c r="I3" t="s">
        <v>29</v>
      </c>
      <c r="J3" t="s">
        <v>30</v>
      </c>
      <c r="K3">
        <v>0</v>
      </c>
      <c r="L3" t="s">
        <v>31</v>
      </c>
      <c r="M3" t="s">
        <v>44</v>
      </c>
      <c r="N3">
        <v>32</v>
      </c>
      <c r="O3">
        <f t="shared" ref="O3:O66" si="2">IF(P3&gt;0,1,0)</f>
        <v>1</v>
      </c>
      <c r="P3" s="1">
        <v>55</v>
      </c>
      <c r="Q3">
        <v>77.5</v>
      </c>
      <c r="R3">
        <v>22.5</v>
      </c>
      <c r="S3" t="s">
        <v>34</v>
      </c>
      <c r="T3" t="s">
        <v>35</v>
      </c>
      <c r="U3" t="s">
        <v>36</v>
      </c>
      <c r="V3">
        <v>12</v>
      </c>
      <c r="W3">
        <v>20</v>
      </c>
      <c r="X3">
        <v>2.4E-2</v>
      </c>
      <c r="Y3">
        <v>0.2</v>
      </c>
      <c r="Z3" t="s">
        <v>37</v>
      </c>
      <c r="AA3" t="s">
        <v>38</v>
      </c>
      <c r="AB3" t="s">
        <v>39</v>
      </c>
    </row>
    <row r="4" spans="1:28" x14ac:dyDescent="0.3">
      <c r="A4">
        <v>3</v>
      </c>
      <c r="B4" s="2" t="str">
        <f t="shared" si="0"/>
        <v>ClC1=CC=C(C=C1)/C=C/C(C2=CC=CC=C2)=O</v>
      </c>
      <c r="C4" s="2" t="str">
        <f t="shared" si="1"/>
        <v>ClC3=CC=C([C@@H]4O[C@H]4C(C5=CC=CC=C5)=O)C=C3</v>
      </c>
      <c r="D4" t="s">
        <v>45</v>
      </c>
      <c r="E4" t="s">
        <v>46</v>
      </c>
      <c r="F4" t="s">
        <v>47</v>
      </c>
      <c r="G4" t="s">
        <v>48</v>
      </c>
      <c r="H4" t="s">
        <v>239</v>
      </c>
      <c r="I4" t="s">
        <v>29</v>
      </c>
      <c r="J4" t="s">
        <v>30</v>
      </c>
      <c r="K4">
        <v>0</v>
      </c>
      <c r="L4" t="s">
        <v>31</v>
      </c>
      <c r="M4" t="s">
        <v>32</v>
      </c>
      <c r="N4" t="s">
        <v>49</v>
      </c>
      <c r="O4">
        <f t="shared" si="2"/>
        <v>1</v>
      </c>
      <c r="P4" s="1">
        <v>97</v>
      </c>
      <c r="Q4">
        <v>98.5</v>
      </c>
      <c r="R4">
        <v>1.5</v>
      </c>
      <c r="S4" t="s">
        <v>34</v>
      </c>
      <c r="T4" t="s">
        <v>35</v>
      </c>
      <c r="U4" t="s">
        <v>36</v>
      </c>
      <c r="V4">
        <v>12</v>
      </c>
      <c r="W4">
        <v>20</v>
      </c>
      <c r="X4">
        <v>2.4E-2</v>
      </c>
      <c r="Y4">
        <v>0.2</v>
      </c>
      <c r="Z4" t="s">
        <v>37</v>
      </c>
      <c r="AA4" t="s">
        <v>38</v>
      </c>
      <c r="AB4" t="s">
        <v>39</v>
      </c>
    </row>
    <row r="5" spans="1:28" x14ac:dyDescent="0.3">
      <c r="A5">
        <v>4</v>
      </c>
      <c r="B5" s="2" t="str">
        <f t="shared" si="0"/>
        <v>O=C(\C=C\C1=CC=CC=C1)C1=CC=CC=C1</v>
      </c>
      <c r="C5" s="2" t="str">
        <f t="shared" si="1"/>
        <v>[H][C@]1(O[C@@]1([H])C1=CC=CC=C1)C(=O)C1=CC=CC=C1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29</v>
      </c>
      <c r="J5" t="s">
        <v>30</v>
      </c>
      <c r="K5">
        <v>0</v>
      </c>
      <c r="L5" t="s">
        <v>31</v>
      </c>
      <c r="M5" t="s">
        <v>32</v>
      </c>
      <c r="N5" t="s">
        <v>55</v>
      </c>
      <c r="O5">
        <f t="shared" si="2"/>
        <v>1</v>
      </c>
      <c r="P5" s="1">
        <v>97</v>
      </c>
      <c r="Q5">
        <v>98.5</v>
      </c>
      <c r="R5">
        <v>1.5</v>
      </c>
      <c r="S5" t="s">
        <v>34</v>
      </c>
      <c r="T5" t="s">
        <v>35</v>
      </c>
      <c r="U5" t="s">
        <v>36</v>
      </c>
      <c r="V5">
        <v>12</v>
      </c>
      <c r="W5">
        <v>20</v>
      </c>
      <c r="X5">
        <v>2.4E-2</v>
      </c>
      <c r="Y5">
        <v>0.2</v>
      </c>
      <c r="Z5" t="s">
        <v>37</v>
      </c>
      <c r="AA5" t="s">
        <v>38</v>
      </c>
      <c r="AB5" t="s">
        <v>39</v>
      </c>
    </row>
    <row r="6" spans="1:28" x14ac:dyDescent="0.3">
      <c r="A6">
        <v>5</v>
      </c>
      <c r="B6" s="2" t="str">
        <f t="shared" si="0"/>
        <v>O=C1/C(CCC2=C1C=CC=C2)=C/C3=CC=CC=C3</v>
      </c>
      <c r="C6" s="2" t="str">
        <f t="shared" si="1"/>
        <v>O=C4C5=CC=CC=C5CC[C@]46O[C@H]6C7=CC=CC=C7</v>
      </c>
      <c r="D6" t="s">
        <v>56</v>
      </c>
      <c r="E6" t="s">
        <v>57</v>
      </c>
      <c r="F6" t="s">
        <v>58</v>
      </c>
      <c r="G6" t="s">
        <v>59</v>
      </c>
      <c r="H6" t="s">
        <v>240</v>
      </c>
      <c r="I6" t="s">
        <v>29</v>
      </c>
      <c r="J6" t="s">
        <v>30</v>
      </c>
      <c r="K6">
        <v>0</v>
      </c>
      <c r="L6" t="s">
        <v>31</v>
      </c>
      <c r="M6" t="s">
        <v>60</v>
      </c>
      <c r="N6">
        <v>22</v>
      </c>
      <c r="O6">
        <f t="shared" si="2"/>
        <v>1</v>
      </c>
      <c r="P6" s="1">
        <v>74</v>
      </c>
      <c r="Q6">
        <v>87</v>
      </c>
      <c r="R6">
        <v>13</v>
      </c>
      <c r="S6" t="s">
        <v>34</v>
      </c>
      <c r="T6" t="s">
        <v>35</v>
      </c>
      <c r="U6" t="s">
        <v>36</v>
      </c>
      <c r="V6">
        <v>12</v>
      </c>
      <c r="W6">
        <v>20</v>
      </c>
      <c r="X6">
        <v>2.4E-2</v>
      </c>
      <c r="Y6">
        <v>0.2</v>
      </c>
      <c r="Z6" t="s">
        <v>37</v>
      </c>
      <c r="AA6" t="s">
        <v>38</v>
      </c>
      <c r="AB6" t="s">
        <v>39</v>
      </c>
    </row>
    <row r="7" spans="1:28" x14ac:dyDescent="0.3">
      <c r="A7">
        <v>6</v>
      </c>
      <c r="B7" s="2" t="str">
        <f t="shared" si="0"/>
        <v>O=C(C1=CC=CC=C1)/C=C/C2=CC=C([N+]([O-])=O)C=C2</v>
      </c>
      <c r="C7" s="2" t="str">
        <f t="shared" si="1"/>
        <v>O=C(C3=CC=CC=C3)[C@@H]4O[C@H]4C5=CC=C([N+]([O-])=O)C=C5</v>
      </c>
      <c r="D7" t="s">
        <v>61</v>
      </c>
      <c r="E7" t="s">
        <v>62</v>
      </c>
      <c r="F7" t="s">
        <v>63</v>
      </c>
      <c r="G7" t="s">
        <v>64</v>
      </c>
      <c r="H7" t="s">
        <v>292</v>
      </c>
      <c r="I7" t="s">
        <v>29</v>
      </c>
      <c r="J7" t="s">
        <v>30</v>
      </c>
      <c r="K7">
        <v>0</v>
      </c>
      <c r="L7" t="s">
        <v>31</v>
      </c>
      <c r="M7" t="s">
        <v>65</v>
      </c>
      <c r="N7">
        <v>80</v>
      </c>
      <c r="O7">
        <f t="shared" si="2"/>
        <v>1</v>
      </c>
      <c r="P7" s="1">
        <v>79</v>
      </c>
      <c r="Q7">
        <v>89.5</v>
      </c>
      <c r="R7">
        <v>10.5</v>
      </c>
      <c r="S7" t="s">
        <v>34</v>
      </c>
      <c r="T7" t="s">
        <v>35</v>
      </c>
      <c r="U7" t="s">
        <v>36</v>
      </c>
      <c r="V7">
        <v>12</v>
      </c>
      <c r="W7">
        <v>20</v>
      </c>
      <c r="X7">
        <v>2.4E-2</v>
      </c>
      <c r="Y7">
        <v>0.2</v>
      </c>
      <c r="Z7" t="s">
        <v>37</v>
      </c>
      <c r="AA7" t="s">
        <v>38</v>
      </c>
      <c r="AB7" t="s">
        <v>39</v>
      </c>
    </row>
    <row r="8" spans="1:28" x14ac:dyDescent="0.3">
      <c r="A8">
        <v>7</v>
      </c>
      <c r="B8" s="2" t="str">
        <f t="shared" si="0"/>
        <v>O=C(C1=CC=CC=C1)/C=C/C2=CC=CC([N+]([O-])=O)=C2</v>
      </c>
      <c r="C8" s="2" t="str">
        <f t="shared" si="1"/>
        <v>O=C(C3=CC=CC=C3)[C@@H]4O[C@H]4C5=CC=CC([N+]([O-])=O)=C5</v>
      </c>
      <c r="D8" t="s">
        <v>66</v>
      </c>
      <c r="E8" t="s">
        <v>67</v>
      </c>
      <c r="F8" t="s">
        <v>68</v>
      </c>
      <c r="G8" t="s">
        <v>69</v>
      </c>
      <c r="H8" t="s">
        <v>287</v>
      </c>
      <c r="I8" t="s">
        <v>29</v>
      </c>
      <c r="J8" t="s">
        <v>30</v>
      </c>
      <c r="K8">
        <v>0</v>
      </c>
      <c r="L8" t="s">
        <v>31</v>
      </c>
      <c r="M8" t="s">
        <v>70</v>
      </c>
      <c r="N8">
        <v>95</v>
      </c>
      <c r="O8">
        <f t="shared" si="2"/>
        <v>1</v>
      </c>
      <c r="P8" s="1">
        <v>85</v>
      </c>
      <c r="Q8">
        <v>92.5</v>
      </c>
      <c r="R8">
        <v>7.5</v>
      </c>
      <c r="S8" t="s">
        <v>34</v>
      </c>
      <c r="T8" t="s">
        <v>35</v>
      </c>
      <c r="U8" t="s">
        <v>36</v>
      </c>
      <c r="V8">
        <v>12</v>
      </c>
      <c r="W8">
        <v>20</v>
      </c>
      <c r="X8">
        <v>2.4E-2</v>
      </c>
      <c r="Y8">
        <v>0.2</v>
      </c>
      <c r="Z8" t="s">
        <v>37</v>
      </c>
      <c r="AA8" t="s">
        <v>38</v>
      </c>
      <c r="AB8" t="s">
        <v>39</v>
      </c>
    </row>
    <row r="9" spans="1:28" x14ac:dyDescent="0.3">
      <c r="A9">
        <v>8</v>
      </c>
      <c r="B9" s="2" t="str">
        <f t="shared" si="0"/>
        <v>O=C(C1=CC=CC=C1)/C=C/C2=CC=CC=C2[N+]([O-])=O</v>
      </c>
      <c r="C9" s="2" t="str">
        <f t="shared" si="1"/>
        <v>O=C(C3=CC=CC=C3)[C@H]4O[C@@H]4C5=C([N+]([O-])=O)C=CC=C5</v>
      </c>
      <c r="D9" t="s">
        <v>71</v>
      </c>
      <c r="E9" t="s">
        <v>72</v>
      </c>
      <c r="F9" t="s">
        <v>73</v>
      </c>
      <c r="G9" t="s">
        <v>74</v>
      </c>
      <c r="H9" t="s">
        <v>288</v>
      </c>
      <c r="I9" t="s">
        <v>29</v>
      </c>
      <c r="J9" t="s">
        <v>30</v>
      </c>
      <c r="K9">
        <v>0</v>
      </c>
      <c r="L9" t="s">
        <v>31</v>
      </c>
      <c r="M9" t="s">
        <v>75</v>
      </c>
      <c r="N9">
        <v>14</v>
      </c>
      <c r="O9">
        <f t="shared" si="2"/>
        <v>1</v>
      </c>
      <c r="P9" s="1">
        <v>18</v>
      </c>
      <c r="Q9">
        <v>59</v>
      </c>
      <c r="R9">
        <v>41</v>
      </c>
      <c r="S9" t="s">
        <v>34</v>
      </c>
      <c r="T9" t="s">
        <v>35</v>
      </c>
      <c r="U9" t="s">
        <v>36</v>
      </c>
      <c r="V9">
        <v>12</v>
      </c>
      <c r="W9">
        <v>20</v>
      </c>
      <c r="X9">
        <v>2.4E-2</v>
      </c>
      <c r="Y9">
        <v>0.2</v>
      </c>
      <c r="Z9" t="s">
        <v>37</v>
      </c>
      <c r="AA9" t="s">
        <v>38</v>
      </c>
      <c r="AB9" t="s">
        <v>39</v>
      </c>
    </row>
    <row r="10" spans="1:28" x14ac:dyDescent="0.3">
      <c r="A10">
        <v>9</v>
      </c>
      <c r="B10" s="2" t="str">
        <f t="shared" si="0"/>
        <v>BrC1=CC=C(C=C1)/C=C/C(C2=CC=CC=C2)=O</v>
      </c>
      <c r="C10" s="2" t="str">
        <f t="shared" si="1"/>
        <v>BrC3=CC=C([C@@H]4O[C@H]4C(C5=CC=CC=C5)=O)C=C3</v>
      </c>
      <c r="D10" t="s">
        <v>76</v>
      </c>
      <c r="E10" t="s">
        <v>77</v>
      </c>
      <c r="F10" t="s">
        <v>78</v>
      </c>
      <c r="G10" t="s">
        <v>79</v>
      </c>
      <c r="H10" t="s">
        <v>241</v>
      </c>
      <c r="I10" t="s">
        <v>29</v>
      </c>
      <c r="J10" t="s">
        <v>30</v>
      </c>
      <c r="K10">
        <v>0</v>
      </c>
      <c r="L10" t="s">
        <v>31</v>
      </c>
      <c r="M10" t="s">
        <v>32</v>
      </c>
      <c r="N10" t="s">
        <v>80</v>
      </c>
      <c r="O10">
        <f t="shared" si="2"/>
        <v>1</v>
      </c>
      <c r="P10" s="1">
        <v>95</v>
      </c>
      <c r="Q10">
        <v>97.5</v>
      </c>
      <c r="R10">
        <v>2.5</v>
      </c>
      <c r="S10" t="s">
        <v>34</v>
      </c>
      <c r="T10" t="s">
        <v>35</v>
      </c>
      <c r="U10" t="s">
        <v>36</v>
      </c>
      <c r="V10">
        <v>12</v>
      </c>
      <c r="W10">
        <v>20</v>
      </c>
      <c r="X10">
        <v>2.4E-2</v>
      </c>
      <c r="Y10">
        <v>0.2</v>
      </c>
      <c r="Z10" t="s">
        <v>37</v>
      </c>
      <c r="AA10" t="s">
        <v>38</v>
      </c>
      <c r="AB10" t="s">
        <v>39</v>
      </c>
    </row>
    <row r="11" spans="1:28" x14ac:dyDescent="0.3">
      <c r="A11">
        <v>10</v>
      </c>
      <c r="B11" s="2" t="str">
        <f t="shared" si="0"/>
        <v>CC1=CC(CCC1)=O</v>
      </c>
      <c r="C11" s="2" t="str">
        <f t="shared" si="1"/>
        <v>O=C2CCC[C@]3(C)O[C@@H]32</v>
      </c>
      <c r="D11" t="s">
        <v>81</v>
      </c>
      <c r="E11" t="s">
        <v>82</v>
      </c>
      <c r="F11" t="s">
        <v>83</v>
      </c>
      <c r="G11" t="s">
        <v>84</v>
      </c>
      <c r="H11" t="s">
        <v>242</v>
      </c>
      <c r="I11" t="s">
        <v>29</v>
      </c>
      <c r="J11" t="s">
        <v>30</v>
      </c>
      <c r="K11">
        <v>0</v>
      </c>
      <c r="L11" t="s">
        <v>31</v>
      </c>
      <c r="M11" t="s">
        <v>85</v>
      </c>
      <c r="N11">
        <v>33</v>
      </c>
      <c r="O11">
        <f t="shared" si="2"/>
        <v>1</v>
      </c>
      <c r="P11" s="1">
        <v>45</v>
      </c>
      <c r="Q11">
        <v>72.5</v>
      </c>
      <c r="R11">
        <v>27.5</v>
      </c>
      <c r="S11" t="s">
        <v>34</v>
      </c>
      <c r="T11" t="s">
        <v>35</v>
      </c>
      <c r="U11" t="s">
        <v>36</v>
      </c>
      <c r="V11">
        <v>12</v>
      </c>
      <c r="W11">
        <v>20</v>
      </c>
      <c r="X11">
        <v>2.4E-2</v>
      </c>
      <c r="Y11">
        <v>0.2</v>
      </c>
      <c r="Z11" t="s">
        <v>37</v>
      </c>
      <c r="AA11" t="s">
        <v>38</v>
      </c>
      <c r="AB11" t="s">
        <v>39</v>
      </c>
    </row>
    <row r="12" spans="1:28" x14ac:dyDescent="0.3">
      <c r="A12">
        <v>11</v>
      </c>
      <c r="B12" s="2" t="str">
        <f t="shared" si="0"/>
        <v>CC1=CC=C(C(/C=C/C2=CC=CC=C2)=O)C=C1</v>
      </c>
      <c r="C12" s="2" t="str">
        <f t="shared" si="1"/>
        <v>CC3=CC=C(C([C@@H]4O[C@H]4C5=CC=CC=C5)=O)C=C3</v>
      </c>
      <c r="D12" t="s">
        <v>86</v>
      </c>
      <c r="E12" t="s">
        <v>87</v>
      </c>
      <c r="F12" t="s">
        <v>88</v>
      </c>
      <c r="G12" t="s">
        <v>89</v>
      </c>
      <c r="H12" t="s">
        <v>243</v>
      </c>
      <c r="I12" t="s">
        <v>29</v>
      </c>
      <c r="J12" t="s">
        <v>30</v>
      </c>
      <c r="K12">
        <v>0</v>
      </c>
      <c r="L12" t="s">
        <v>31</v>
      </c>
      <c r="M12" t="s">
        <v>32</v>
      </c>
      <c r="N12" t="s">
        <v>90</v>
      </c>
      <c r="O12">
        <f t="shared" si="2"/>
        <v>1</v>
      </c>
      <c r="P12" s="1">
        <v>92</v>
      </c>
      <c r="Q12">
        <v>96</v>
      </c>
      <c r="R12">
        <v>4</v>
      </c>
      <c r="S12" t="s">
        <v>34</v>
      </c>
      <c r="T12" t="s">
        <v>35</v>
      </c>
      <c r="U12" t="s">
        <v>36</v>
      </c>
      <c r="V12">
        <v>12</v>
      </c>
      <c r="W12">
        <v>20</v>
      </c>
      <c r="X12">
        <v>2.4E-2</v>
      </c>
      <c r="Y12">
        <v>0.2</v>
      </c>
      <c r="Z12" t="s">
        <v>37</v>
      </c>
      <c r="AA12" t="s">
        <v>38</v>
      </c>
      <c r="AB12" t="s">
        <v>39</v>
      </c>
    </row>
    <row r="13" spans="1:28" x14ac:dyDescent="0.3">
      <c r="A13">
        <v>12</v>
      </c>
      <c r="B13" s="2" t="str">
        <f t="shared" si="0"/>
        <v>O=C1CCCCC=C1</v>
      </c>
      <c r="C13" s="2" t="str">
        <f t="shared" si="1"/>
        <v>O=C2CCCC[C@@H]3O[C@H]23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29</v>
      </c>
      <c r="J13" t="s">
        <v>30</v>
      </c>
      <c r="K13">
        <v>0</v>
      </c>
      <c r="L13" t="s">
        <v>31</v>
      </c>
      <c r="M13" t="s">
        <v>96</v>
      </c>
      <c r="N13">
        <v>53</v>
      </c>
      <c r="O13">
        <f t="shared" si="2"/>
        <v>1</v>
      </c>
      <c r="P13" s="1">
        <v>35</v>
      </c>
      <c r="Q13">
        <v>67.5</v>
      </c>
      <c r="R13">
        <v>32.5</v>
      </c>
      <c r="S13" t="s">
        <v>34</v>
      </c>
      <c r="T13" t="s">
        <v>35</v>
      </c>
      <c r="U13" t="s">
        <v>36</v>
      </c>
      <c r="V13">
        <v>12</v>
      </c>
      <c r="W13">
        <v>20</v>
      </c>
      <c r="X13">
        <v>2.4E-2</v>
      </c>
      <c r="Y13">
        <v>0.2</v>
      </c>
      <c r="Z13" t="s">
        <v>37</v>
      </c>
      <c r="AA13" t="s">
        <v>38</v>
      </c>
      <c r="AB13" t="s">
        <v>39</v>
      </c>
    </row>
    <row r="14" spans="1:28" x14ac:dyDescent="0.3">
      <c r="A14">
        <v>13</v>
      </c>
      <c r="B14" s="2" t="str">
        <f t="shared" si="0"/>
        <v>O=C(C1=CC=CC=C1)/C=C/C2=CC3=CC=CC=C3C=C2</v>
      </c>
      <c r="C14" s="2" t="str">
        <f t="shared" si="1"/>
        <v>O=C(C4=CC=CC=C4)[C@@H]5O[C@H]5C6=CC7=C(C=C6)C=CC=C7</v>
      </c>
      <c r="D14" t="s">
        <v>97</v>
      </c>
      <c r="E14" t="s">
        <v>98</v>
      </c>
      <c r="F14" t="s">
        <v>99</v>
      </c>
      <c r="G14" t="s">
        <v>100</v>
      </c>
      <c r="H14" t="s">
        <v>244</v>
      </c>
      <c r="I14" t="s">
        <v>29</v>
      </c>
      <c r="J14" t="s">
        <v>30</v>
      </c>
      <c r="K14">
        <v>0</v>
      </c>
      <c r="L14" t="s">
        <v>31</v>
      </c>
      <c r="M14" t="s">
        <v>32</v>
      </c>
      <c r="N14" t="s">
        <v>101</v>
      </c>
      <c r="O14">
        <f t="shared" si="2"/>
        <v>1</v>
      </c>
      <c r="P14" s="1">
        <v>96</v>
      </c>
      <c r="Q14">
        <v>98</v>
      </c>
      <c r="R14">
        <v>2</v>
      </c>
      <c r="S14" t="s">
        <v>34</v>
      </c>
      <c r="T14" t="s">
        <v>35</v>
      </c>
      <c r="U14" t="s">
        <v>36</v>
      </c>
      <c r="V14">
        <v>12</v>
      </c>
      <c r="W14">
        <v>20</v>
      </c>
      <c r="X14">
        <v>2.4E-2</v>
      </c>
      <c r="Y14">
        <v>0.2</v>
      </c>
      <c r="Z14" t="s">
        <v>37</v>
      </c>
      <c r="AA14" t="s">
        <v>38</v>
      </c>
      <c r="AB14" t="s">
        <v>39</v>
      </c>
    </row>
    <row r="15" spans="1:28" x14ac:dyDescent="0.3">
      <c r="A15">
        <v>14</v>
      </c>
      <c r="B15" s="2" t="str">
        <f t="shared" si="0"/>
        <v>O=C(/C=C/C1=C2C=CC=CC2=CC=C1)C3=CC=CC=C3</v>
      </c>
      <c r="C15" s="2" t="str">
        <f t="shared" si="1"/>
        <v>O=C([C@@H]4O[C@H]4C5=C6C=CC=CC6=CC=C5)C7=CC=CC=C7</v>
      </c>
      <c r="D15" t="s">
        <v>102</v>
      </c>
      <c r="E15" t="s">
        <v>103</v>
      </c>
      <c r="F15" t="s">
        <v>104</v>
      </c>
      <c r="G15" t="s">
        <v>105</v>
      </c>
      <c r="H15" t="s">
        <v>245</v>
      </c>
      <c r="I15" t="s">
        <v>29</v>
      </c>
      <c r="J15" t="s">
        <v>30</v>
      </c>
      <c r="K15">
        <v>0</v>
      </c>
      <c r="L15" t="s">
        <v>31</v>
      </c>
      <c r="M15" t="s">
        <v>106</v>
      </c>
      <c r="N15">
        <v>38</v>
      </c>
      <c r="O15">
        <f t="shared" si="2"/>
        <v>1</v>
      </c>
      <c r="P15" s="1">
        <v>52</v>
      </c>
      <c r="Q15">
        <v>76</v>
      </c>
      <c r="R15">
        <v>24</v>
      </c>
      <c r="S15" t="s">
        <v>34</v>
      </c>
      <c r="T15" t="s">
        <v>35</v>
      </c>
      <c r="U15" t="s">
        <v>36</v>
      </c>
      <c r="V15">
        <v>12</v>
      </c>
      <c r="W15">
        <v>20</v>
      </c>
      <c r="X15">
        <v>2.4E-2</v>
      </c>
      <c r="Y15">
        <v>0.2</v>
      </c>
      <c r="Z15" t="s">
        <v>37</v>
      </c>
      <c r="AA15" t="s">
        <v>38</v>
      </c>
      <c r="AB15" t="s">
        <v>39</v>
      </c>
    </row>
    <row r="16" spans="1:28" x14ac:dyDescent="0.3">
      <c r="A16">
        <v>15</v>
      </c>
      <c r="B16" s="2" t="str">
        <f t="shared" si="0"/>
        <v>FC1=CC=C(C(/C=C/C2=CC=CC=C2)=O)C=C1</v>
      </c>
      <c r="C16" s="2" t="str">
        <f t="shared" si="1"/>
        <v>FC3=CC=C(C([C@@H]4O[C@H]4C5=CC=CC=C5)=O)C=C3</v>
      </c>
      <c r="D16" t="s">
        <v>107</v>
      </c>
      <c r="E16" t="s">
        <v>108</v>
      </c>
      <c r="F16" t="s">
        <v>109</v>
      </c>
      <c r="G16" t="s">
        <v>110</v>
      </c>
      <c r="H16" t="s">
        <v>246</v>
      </c>
      <c r="I16" t="s">
        <v>29</v>
      </c>
      <c r="J16" t="s">
        <v>30</v>
      </c>
      <c r="K16">
        <v>0</v>
      </c>
      <c r="L16" t="s">
        <v>31</v>
      </c>
      <c r="M16" t="s">
        <v>32</v>
      </c>
      <c r="N16" t="s">
        <v>55</v>
      </c>
      <c r="O16">
        <f t="shared" si="2"/>
        <v>1</v>
      </c>
      <c r="P16" s="1">
        <v>92</v>
      </c>
      <c r="Q16">
        <v>96</v>
      </c>
      <c r="R16">
        <v>4</v>
      </c>
      <c r="S16" t="s">
        <v>34</v>
      </c>
      <c r="T16" t="s">
        <v>35</v>
      </c>
      <c r="U16" t="s">
        <v>36</v>
      </c>
      <c r="V16">
        <v>12</v>
      </c>
      <c r="W16">
        <v>20</v>
      </c>
      <c r="X16">
        <v>2.4E-2</v>
      </c>
      <c r="Y16">
        <v>0.2</v>
      </c>
      <c r="Z16" t="s">
        <v>37</v>
      </c>
      <c r="AA16" t="s">
        <v>38</v>
      </c>
      <c r="AB16" t="s">
        <v>39</v>
      </c>
    </row>
    <row r="17" spans="1:28" x14ac:dyDescent="0.3">
      <c r="A17">
        <v>16</v>
      </c>
      <c r="B17" s="2" t="str">
        <f t="shared" si="0"/>
        <v>O=C1/C(C(C2=CC=CC=C12)=O)=C\C3=CC=CC=C3</v>
      </c>
      <c r="C17" s="2" t="str">
        <f t="shared" si="1"/>
        <v>O=C4C5=C(C=CC=C5)C(C46O[C@@H]6C7=CC=CC=C7)=O</v>
      </c>
      <c r="D17" t="s">
        <v>111</v>
      </c>
      <c r="E17" t="s">
        <v>112</v>
      </c>
      <c r="F17" t="s">
        <v>113</v>
      </c>
      <c r="G17" t="s">
        <v>114</v>
      </c>
      <c r="H17" t="s">
        <v>247</v>
      </c>
      <c r="I17" t="s">
        <v>29</v>
      </c>
      <c r="J17" t="s">
        <v>30</v>
      </c>
      <c r="K17">
        <v>0</v>
      </c>
      <c r="L17" t="s">
        <v>31</v>
      </c>
      <c r="M17" t="s">
        <v>115</v>
      </c>
      <c r="N17">
        <v>87</v>
      </c>
      <c r="O17">
        <f t="shared" si="2"/>
        <v>1</v>
      </c>
      <c r="P17" s="1">
        <v>53</v>
      </c>
      <c r="Q17">
        <v>76.5</v>
      </c>
      <c r="R17">
        <v>23.5</v>
      </c>
      <c r="S17" t="s">
        <v>34</v>
      </c>
      <c r="T17" t="s">
        <v>35</v>
      </c>
      <c r="U17" t="s">
        <v>36</v>
      </c>
      <c r="V17">
        <v>12</v>
      </c>
      <c r="W17">
        <v>20</v>
      </c>
      <c r="X17">
        <v>2.4E-2</v>
      </c>
      <c r="Y17">
        <v>0.2</v>
      </c>
      <c r="Z17" t="s">
        <v>37</v>
      </c>
      <c r="AA17" t="s">
        <v>38</v>
      </c>
      <c r="AB17" t="s">
        <v>39</v>
      </c>
    </row>
    <row r="18" spans="1:28" x14ac:dyDescent="0.3">
      <c r="A18">
        <v>17</v>
      </c>
      <c r="B18" s="2" t="str">
        <f t="shared" si="0"/>
        <v>O=C(C1=CC=CO1)/C=C/C2=CC=CC=C2</v>
      </c>
      <c r="C18" s="2" t="str">
        <f t="shared" si="1"/>
        <v>O=C(C3=CC=CO3)[C@@H]4O[C@H]4C5=CC=CC=C5</v>
      </c>
      <c r="D18" t="s">
        <v>116</v>
      </c>
      <c r="E18" t="s">
        <v>117</v>
      </c>
      <c r="F18" t="s">
        <v>118</v>
      </c>
      <c r="G18" t="s">
        <v>119</v>
      </c>
      <c r="H18" t="s">
        <v>248</v>
      </c>
      <c r="I18" t="s">
        <v>29</v>
      </c>
      <c r="J18" t="s">
        <v>30</v>
      </c>
      <c r="K18">
        <v>0</v>
      </c>
      <c r="L18" t="s">
        <v>31</v>
      </c>
      <c r="M18" t="s">
        <v>32</v>
      </c>
      <c r="N18" t="s">
        <v>120</v>
      </c>
      <c r="O18">
        <f t="shared" si="2"/>
        <v>1</v>
      </c>
      <c r="P18" s="1">
        <v>93</v>
      </c>
      <c r="Q18">
        <v>96.5</v>
      </c>
      <c r="R18">
        <v>3.5</v>
      </c>
      <c r="S18" t="s">
        <v>34</v>
      </c>
      <c r="T18" t="s">
        <v>35</v>
      </c>
      <c r="U18" t="s">
        <v>36</v>
      </c>
      <c r="V18">
        <v>12</v>
      </c>
      <c r="W18">
        <v>20</v>
      </c>
      <c r="X18">
        <v>2.4E-2</v>
      </c>
      <c r="Y18">
        <v>0.2</v>
      </c>
      <c r="Z18" t="s">
        <v>37</v>
      </c>
      <c r="AA18" t="s">
        <v>38</v>
      </c>
      <c r="AB18" t="s">
        <v>39</v>
      </c>
    </row>
    <row r="19" spans="1:28" x14ac:dyDescent="0.3">
      <c r="A19">
        <v>18</v>
      </c>
      <c r="B19" s="2" t="str">
        <f t="shared" si="0"/>
        <v>CC(C(/C=C/C1=CC=CC=C1)=O)C</v>
      </c>
      <c r="C19" s="2" t="str">
        <f t="shared" si="1"/>
        <v>CC(C([C@@H]2O[C@H]2C3=CC=CC=C3)=O)C</v>
      </c>
      <c r="D19" t="s">
        <v>121</v>
      </c>
      <c r="E19" t="s">
        <v>122</v>
      </c>
      <c r="F19" t="s">
        <v>123</v>
      </c>
      <c r="G19" t="s">
        <v>124</v>
      </c>
      <c r="H19" t="s">
        <v>249</v>
      </c>
      <c r="I19" t="s">
        <v>29</v>
      </c>
      <c r="J19" t="s">
        <v>30</v>
      </c>
      <c r="K19">
        <v>0</v>
      </c>
      <c r="L19" t="s">
        <v>31</v>
      </c>
      <c r="M19" t="s">
        <v>32</v>
      </c>
      <c r="N19" t="s">
        <v>125</v>
      </c>
      <c r="O19">
        <f t="shared" si="2"/>
        <v>1</v>
      </c>
      <c r="P19" s="1">
        <v>95</v>
      </c>
      <c r="Q19">
        <v>97.5</v>
      </c>
      <c r="R19">
        <v>2.5</v>
      </c>
      <c r="S19" t="s">
        <v>34</v>
      </c>
      <c r="T19" t="s">
        <v>35</v>
      </c>
      <c r="U19" t="s">
        <v>36</v>
      </c>
      <c r="V19">
        <v>12</v>
      </c>
      <c r="W19">
        <v>20</v>
      </c>
      <c r="X19">
        <v>2.4E-2</v>
      </c>
      <c r="Y19">
        <v>0.2</v>
      </c>
      <c r="Z19" t="s">
        <v>37</v>
      </c>
      <c r="AA19" t="s">
        <v>38</v>
      </c>
      <c r="AB19" t="s">
        <v>39</v>
      </c>
    </row>
    <row r="20" spans="1:28" x14ac:dyDescent="0.3">
      <c r="A20">
        <v>19</v>
      </c>
      <c r="B20" s="2" t="str">
        <f t="shared" si="0"/>
        <v>O=C(C1=CC=CC=C1)/C=C/C2=CC3=CC=CC=C3S2</v>
      </c>
      <c r="C20" s="2" t="str">
        <f t="shared" si="1"/>
        <v>O=C(C4=CC=CC=C4)[C@H](O5)[C@@H]5C6=CC7=CC=CC=C7S6</v>
      </c>
      <c r="D20" t="s">
        <v>126</v>
      </c>
      <c r="E20" t="s">
        <v>127</v>
      </c>
      <c r="F20" t="s">
        <v>128</v>
      </c>
      <c r="G20" t="s">
        <v>129</v>
      </c>
      <c r="H20" t="s">
        <v>250</v>
      </c>
      <c r="I20" t="s">
        <v>29</v>
      </c>
      <c r="J20" t="s">
        <v>30</v>
      </c>
      <c r="K20">
        <v>0</v>
      </c>
      <c r="L20" t="s">
        <v>31</v>
      </c>
      <c r="M20" t="s">
        <v>32</v>
      </c>
      <c r="N20" t="s">
        <v>101</v>
      </c>
      <c r="O20">
        <f t="shared" si="2"/>
        <v>1</v>
      </c>
      <c r="P20" s="1">
        <v>97</v>
      </c>
      <c r="Q20">
        <v>98.5</v>
      </c>
      <c r="R20">
        <v>1.5</v>
      </c>
      <c r="S20" t="s">
        <v>34</v>
      </c>
      <c r="T20" t="s">
        <v>35</v>
      </c>
      <c r="U20" t="s">
        <v>36</v>
      </c>
      <c r="V20">
        <v>12</v>
      </c>
      <c r="W20">
        <v>20</v>
      </c>
      <c r="X20">
        <v>2.4E-2</v>
      </c>
      <c r="Y20">
        <v>0.2</v>
      </c>
      <c r="Z20" t="s">
        <v>37</v>
      </c>
      <c r="AA20" t="s">
        <v>38</v>
      </c>
      <c r="AB20" t="s">
        <v>39</v>
      </c>
    </row>
    <row r="21" spans="1:28" x14ac:dyDescent="0.3">
      <c r="A21">
        <v>20</v>
      </c>
      <c r="B21" s="2" t="str">
        <f t="shared" si="0"/>
        <v>O=C(C1=CC=CS1)/C=C/C2=CC=CC=C2</v>
      </c>
      <c r="C21" s="2" t="str">
        <f t="shared" si="1"/>
        <v>O=C(C3=CC=CS3)[C@@H]4O[C@H]4C5=CC=CC=C5</v>
      </c>
      <c r="D21" t="s">
        <v>130</v>
      </c>
      <c r="E21" t="s">
        <v>131</v>
      </c>
      <c r="F21" t="s">
        <v>132</v>
      </c>
      <c r="G21" t="s">
        <v>133</v>
      </c>
      <c r="H21" t="s">
        <v>251</v>
      </c>
      <c r="I21" t="s">
        <v>29</v>
      </c>
      <c r="J21" t="s">
        <v>30</v>
      </c>
      <c r="K21">
        <v>0</v>
      </c>
      <c r="L21" t="s">
        <v>31</v>
      </c>
      <c r="M21" t="s">
        <v>32</v>
      </c>
      <c r="N21" t="s">
        <v>134</v>
      </c>
      <c r="O21">
        <f t="shared" si="2"/>
        <v>1</v>
      </c>
      <c r="P21" s="1">
        <v>96</v>
      </c>
      <c r="Q21">
        <v>98</v>
      </c>
      <c r="R21">
        <v>2</v>
      </c>
      <c r="S21" t="s">
        <v>34</v>
      </c>
      <c r="T21" t="s">
        <v>35</v>
      </c>
      <c r="U21" t="s">
        <v>36</v>
      </c>
      <c r="V21">
        <v>12</v>
      </c>
      <c r="W21">
        <v>20</v>
      </c>
      <c r="X21">
        <v>2.4E-2</v>
      </c>
      <c r="Y21">
        <v>0.2</v>
      </c>
      <c r="Z21" t="s">
        <v>37</v>
      </c>
      <c r="AA21" t="s">
        <v>38</v>
      </c>
      <c r="AB21" t="s">
        <v>39</v>
      </c>
    </row>
    <row r="22" spans="1:28" x14ac:dyDescent="0.3">
      <c r="A22">
        <v>21</v>
      </c>
      <c r="B22" s="2" t="str">
        <f t="shared" si="0"/>
        <v>O=C(C1=CC2=C(C=CC=C2)O1)/C=C/C3=CC=CC=C3</v>
      </c>
      <c r="C22" s="2" t="str">
        <f t="shared" si="1"/>
        <v>O=C(C4=CC5=CC=CC=C5O4)[C@@H]6O[C@H]6C7=CC=CC=C7</v>
      </c>
      <c r="D22" t="s">
        <v>135</v>
      </c>
      <c r="E22" t="s">
        <v>136</v>
      </c>
      <c r="F22" t="s">
        <v>137</v>
      </c>
      <c r="G22" t="s">
        <v>138</v>
      </c>
      <c r="H22" t="s">
        <v>252</v>
      </c>
      <c r="I22" t="s">
        <v>29</v>
      </c>
      <c r="J22" t="s">
        <v>30</v>
      </c>
      <c r="K22">
        <v>0</v>
      </c>
      <c r="L22" t="s">
        <v>31</v>
      </c>
      <c r="M22" t="s">
        <v>32</v>
      </c>
      <c r="N22" t="s">
        <v>139</v>
      </c>
      <c r="O22">
        <f t="shared" si="2"/>
        <v>1</v>
      </c>
      <c r="P22" s="1">
        <v>98</v>
      </c>
      <c r="Q22">
        <v>99</v>
      </c>
      <c r="R22">
        <v>1</v>
      </c>
      <c r="S22" t="s">
        <v>34</v>
      </c>
      <c r="T22" t="s">
        <v>35</v>
      </c>
      <c r="U22" t="s">
        <v>36</v>
      </c>
      <c r="V22">
        <v>12</v>
      </c>
      <c r="W22">
        <v>20</v>
      </c>
      <c r="X22">
        <v>2.4E-2</v>
      </c>
      <c r="Y22">
        <v>0.2</v>
      </c>
      <c r="Z22" t="s">
        <v>37</v>
      </c>
      <c r="AA22" t="s">
        <v>38</v>
      </c>
      <c r="AB22" t="s">
        <v>39</v>
      </c>
    </row>
    <row r="23" spans="1:28" x14ac:dyDescent="0.3">
      <c r="A23">
        <v>22</v>
      </c>
      <c r="B23" s="2" t="str">
        <f t="shared" si="0"/>
        <v>O=C(C1=CC2=C(C=CC=C2)S1)/C=C/C3=CC=CC=C3</v>
      </c>
      <c r="C23" s="2" t="str">
        <f t="shared" si="1"/>
        <v>O=C(C4=CC5=CC=CC=C5S4)[C@@H]6O[C@H]6C7=CC=CC=C7</v>
      </c>
      <c r="D23" t="s">
        <v>140</v>
      </c>
      <c r="E23" t="s">
        <v>141</v>
      </c>
      <c r="F23" t="s">
        <v>128</v>
      </c>
      <c r="G23" t="s">
        <v>142</v>
      </c>
      <c r="H23" t="s">
        <v>253</v>
      </c>
      <c r="I23" t="s">
        <v>29</v>
      </c>
      <c r="J23" t="s">
        <v>30</v>
      </c>
      <c r="K23">
        <v>0</v>
      </c>
      <c r="L23" t="s">
        <v>31</v>
      </c>
      <c r="M23" t="s">
        <v>32</v>
      </c>
      <c r="N23" t="s">
        <v>143</v>
      </c>
      <c r="O23">
        <f t="shared" si="2"/>
        <v>1</v>
      </c>
      <c r="P23" s="1">
        <v>98</v>
      </c>
      <c r="Q23">
        <v>99</v>
      </c>
      <c r="R23">
        <v>1</v>
      </c>
      <c r="S23" t="s">
        <v>34</v>
      </c>
      <c r="T23" t="s">
        <v>35</v>
      </c>
      <c r="U23" t="s">
        <v>36</v>
      </c>
      <c r="V23">
        <v>12</v>
      </c>
      <c r="W23">
        <v>20</v>
      </c>
      <c r="X23">
        <v>2.4E-2</v>
      </c>
      <c r="Y23">
        <v>0.2</v>
      </c>
      <c r="Z23" t="s">
        <v>37</v>
      </c>
      <c r="AA23" t="s">
        <v>38</v>
      </c>
      <c r="AB23" t="s">
        <v>39</v>
      </c>
    </row>
    <row r="24" spans="1:28" x14ac:dyDescent="0.3">
      <c r="A24">
        <v>23</v>
      </c>
      <c r="B24" s="2" t="str">
        <f t="shared" si="0"/>
        <v>O=C(C1=CC=CC=C1)/C=C/C2=CC=C(C#N)C=C2</v>
      </c>
      <c r="C24" s="2" t="str">
        <f t="shared" si="1"/>
        <v>O=C(C3=CC=CC=C3)[C@@H]4O[C@H]4C5=CC=C(C#N)C=C5</v>
      </c>
      <c r="D24" t="s">
        <v>144</v>
      </c>
      <c r="E24" t="s">
        <v>145</v>
      </c>
      <c r="F24" t="s">
        <v>146</v>
      </c>
      <c r="G24" t="s">
        <v>147</v>
      </c>
      <c r="H24" t="s">
        <v>254</v>
      </c>
      <c r="I24" t="s">
        <v>29</v>
      </c>
      <c r="J24" t="s">
        <v>30</v>
      </c>
      <c r="K24">
        <v>0</v>
      </c>
      <c r="L24" t="s">
        <v>31</v>
      </c>
      <c r="M24" t="s">
        <v>32</v>
      </c>
      <c r="N24" t="s">
        <v>148</v>
      </c>
      <c r="O24">
        <f t="shared" si="2"/>
        <v>1</v>
      </c>
      <c r="P24" s="1">
        <v>94</v>
      </c>
      <c r="Q24">
        <v>97</v>
      </c>
      <c r="R24">
        <v>3</v>
      </c>
      <c r="S24" t="s">
        <v>34</v>
      </c>
      <c r="T24" t="s">
        <v>35</v>
      </c>
      <c r="U24" t="s">
        <v>36</v>
      </c>
      <c r="V24">
        <v>12</v>
      </c>
      <c r="W24">
        <v>20</v>
      </c>
      <c r="X24">
        <v>2.4E-2</v>
      </c>
      <c r="Y24">
        <v>0.2</v>
      </c>
      <c r="Z24" t="s">
        <v>37</v>
      </c>
      <c r="AA24" t="s">
        <v>38</v>
      </c>
      <c r="AB24" t="s">
        <v>39</v>
      </c>
    </row>
    <row r="25" spans="1:28" x14ac:dyDescent="0.3">
      <c r="A25">
        <v>24</v>
      </c>
      <c r="B25" s="2" t="str">
        <f t="shared" si="0"/>
        <v>O=C(C1=CC2=C(C=C1)C=CC=C2)/C=C/C3=CC=CC=C3</v>
      </c>
      <c r="C25" s="2" t="str">
        <f t="shared" si="1"/>
        <v>O=C(C4=CC=C5C=CC=CC5=C4)[C@@H]6O[C@H]6C7=CC=CC=C7</v>
      </c>
      <c r="D25" t="s">
        <v>149</v>
      </c>
      <c r="E25" t="s">
        <v>150</v>
      </c>
      <c r="F25" t="s">
        <v>151</v>
      </c>
      <c r="G25" t="s">
        <v>152</v>
      </c>
      <c r="H25" t="s">
        <v>255</v>
      </c>
      <c r="I25" t="s">
        <v>29</v>
      </c>
      <c r="J25" t="s">
        <v>30</v>
      </c>
      <c r="K25">
        <v>0</v>
      </c>
      <c r="L25" t="s">
        <v>31</v>
      </c>
      <c r="M25" t="s">
        <v>32</v>
      </c>
      <c r="N25" t="s">
        <v>153</v>
      </c>
      <c r="O25">
        <f t="shared" si="2"/>
        <v>1</v>
      </c>
      <c r="P25" s="1">
        <v>91</v>
      </c>
      <c r="Q25">
        <v>95.5</v>
      </c>
      <c r="R25">
        <v>4.5</v>
      </c>
      <c r="S25" t="s">
        <v>34</v>
      </c>
      <c r="T25" t="s">
        <v>35</v>
      </c>
      <c r="U25" t="s">
        <v>36</v>
      </c>
      <c r="V25">
        <v>12</v>
      </c>
      <c r="W25">
        <v>20</v>
      </c>
      <c r="X25">
        <v>2.4E-2</v>
      </c>
      <c r="Y25">
        <v>0.2</v>
      </c>
      <c r="Z25" t="s">
        <v>37</v>
      </c>
      <c r="AA25" t="s">
        <v>38</v>
      </c>
      <c r="AB25" t="s">
        <v>39</v>
      </c>
    </row>
    <row r="26" spans="1:28" x14ac:dyDescent="0.3">
      <c r="A26">
        <v>25</v>
      </c>
      <c r="B26" s="2" t="str">
        <f t="shared" si="0"/>
        <v>FC1=CC=C(C(/C=C/C2=CC=C(C=C2)Cl)=O)C=C1</v>
      </c>
      <c r="C26" s="2" t="str">
        <f t="shared" si="1"/>
        <v>FC3=CC=C(C([C@@H]4O[C@H]4C5=CC=C(C=C5)Cl)=O)C=C3</v>
      </c>
      <c r="D26" t="s">
        <v>154</v>
      </c>
      <c r="E26" t="s">
        <v>155</v>
      </c>
      <c r="F26" t="s">
        <v>156</v>
      </c>
      <c r="G26" t="s">
        <v>157</v>
      </c>
      <c r="H26" t="s">
        <v>256</v>
      </c>
      <c r="I26" t="s">
        <v>29</v>
      </c>
      <c r="J26" t="s">
        <v>30</v>
      </c>
      <c r="K26">
        <v>0</v>
      </c>
      <c r="L26" t="s">
        <v>31</v>
      </c>
      <c r="M26" t="s">
        <v>32</v>
      </c>
      <c r="N26" t="s">
        <v>158</v>
      </c>
      <c r="O26">
        <f t="shared" si="2"/>
        <v>1</v>
      </c>
      <c r="P26" s="1">
        <v>94</v>
      </c>
      <c r="Q26">
        <v>97</v>
      </c>
      <c r="R26">
        <v>3</v>
      </c>
      <c r="S26" t="s">
        <v>34</v>
      </c>
      <c r="T26" t="s">
        <v>35</v>
      </c>
      <c r="U26" t="s">
        <v>36</v>
      </c>
      <c r="V26">
        <v>12</v>
      </c>
      <c r="W26">
        <v>20</v>
      </c>
      <c r="X26">
        <v>2.4E-2</v>
      </c>
      <c r="Y26">
        <v>0.2</v>
      </c>
      <c r="Z26" t="s">
        <v>37</v>
      </c>
      <c r="AA26" t="s">
        <v>38</v>
      </c>
      <c r="AB26" t="s">
        <v>39</v>
      </c>
    </row>
    <row r="27" spans="1:28" x14ac:dyDescent="0.3">
      <c r="A27">
        <v>26</v>
      </c>
      <c r="B27" s="2" t="str">
        <f t="shared" si="0"/>
        <v>O=C(C1=CC=CC=C1)/C=C/C=C/C2=CC=CC=C2</v>
      </c>
      <c r="C27" s="2" t="str">
        <f t="shared" si="1"/>
        <v>O=C(C3=CC=CC=C3)[C@@H]4O[C@H]4/C=C/C5=CC=CC=C5</v>
      </c>
      <c r="D27" t="s">
        <v>159</v>
      </c>
      <c r="E27" t="s">
        <v>160</v>
      </c>
      <c r="F27" t="s">
        <v>161</v>
      </c>
      <c r="G27" t="s">
        <v>162</v>
      </c>
      <c r="H27" t="s">
        <v>257</v>
      </c>
      <c r="I27" t="s">
        <v>29</v>
      </c>
      <c r="J27" t="s">
        <v>30</v>
      </c>
      <c r="K27">
        <v>0</v>
      </c>
      <c r="L27" t="s">
        <v>31</v>
      </c>
      <c r="M27" t="s">
        <v>32</v>
      </c>
      <c r="N27" t="s">
        <v>90</v>
      </c>
      <c r="O27">
        <f t="shared" si="2"/>
        <v>1</v>
      </c>
      <c r="P27" s="1">
        <v>99</v>
      </c>
      <c r="Q27">
        <v>99.5</v>
      </c>
      <c r="R27">
        <v>0.5</v>
      </c>
      <c r="S27" t="s">
        <v>34</v>
      </c>
      <c r="T27" t="s">
        <v>35</v>
      </c>
      <c r="U27" t="s">
        <v>36</v>
      </c>
      <c r="V27">
        <v>12</v>
      </c>
      <c r="W27">
        <v>20</v>
      </c>
      <c r="X27">
        <v>2.4E-2</v>
      </c>
      <c r="Y27">
        <v>0.2</v>
      </c>
      <c r="Z27" t="s">
        <v>37</v>
      </c>
      <c r="AA27" t="s">
        <v>38</v>
      </c>
      <c r="AB27" t="s">
        <v>39</v>
      </c>
    </row>
    <row r="28" spans="1:28" x14ac:dyDescent="0.3">
      <c r="A28">
        <v>27</v>
      </c>
      <c r="B28" s="2" t="str">
        <f t="shared" si="0"/>
        <v>C\C=C\C=C\C(=O)C1=CC=CC=C1</v>
      </c>
      <c r="C28" s="2" t="str">
        <f t="shared" si="1"/>
        <v>C\C=C\[C@@H]1O[C@H]1C(=O)C1=CC=CC=C1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29</v>
      </c>
      <c r="J28" t="s">
        <v>30</v>
      </c>
      <c r="K28">
        <v>0</v>
      </c>
      <c r="L28" t="s">
        <v>31</v>
      </c>
      <c r="M28" t="s">
        <v>32</v>
      </c>
      <c r="N28" t="s">
        <v>168</v>
      </c>
      <c r="O28">
        <f t="shared" si="2"/>
        <v>1</v>
      </c>
      <c r="P28" s="1">
        <v>98</v>
      </c>
      <c r="Q28">
        <v>99</v>
      </c>
      <c r="R28">
        <v>1</v>
      </c>
      <c r="S28" t="s">
        <v>34</v>
      </c>
      <c r="T28" t="s">
        <v>35</v>
      </c>
      <c r="U28" t="s">
        <v>36</v>
      </c>
      <c r="V28">
        <v>12</v>
      </c>
      <c r="W28">
        <v>20</v>
      </c>
      <c r="X28">
        <v>2.4E-2</v>
      </c>
      <c r="Y28">
        <v>0.2</v>
      </c>
      <c r="Z28" t="s">
        <v>37</v>
      </c>
      <c r="AA28" t="s">
        <v>38</v>
      </c>
      <c r="AB28" t="s">
        <v>39</v>
      </c>
    </row>
    <row r="29" spans="1:28" x14ac:dyDescent="0.3">
      <c r="A29">
        <v>28</v>
      </c>
      <c r="B29" s="2" t="str">
        <f t="shared" si="0"/>
        <v>CC1=CC=CC=C1C(/C=C/C2=CC=CC=C2)=O</v>
      </c>
      <c r="C29" s="2" t="str">
        <f t="shared" si="1"/>
        <v>CC3=CC=CC=C3C([C@@H]4O[C@H]4C5=CC=CC=C5)=O</v>
      </c>
      <c r="D29" t="s">
        <v>169</v>
      </c>
      <c r="E29" t="s">
        <v>170</v>
      </c>
      <c r="F29" t="s">
        <v>171</v>
      </c>
      <c r="G29" t="s">
        <v>172</v>
      </c>
      <c r="H29" t="s">
        <v>258</v>
      </c>
      <c r="I29" t="s">
        <v>29</v>
      </c>
      <c r="J29" t="s">
        <v>30</v>
      </c>
      <c r="K29">
        <v>0</v>
      </c>
      <c r="L29" t="s">
        <v>31</v>
      </c>
      <c r="M29" t="s">
        <v>32</v>
      </c>
      <c r="N29" t="s">
        <v>173</v>
      </c>
      <c r="O29">
        <f t="shared" si="2"/>
        <v>1</v>
      </c>
      <c r="P29" s="1">
        <v>93</v>
      </c>
      <c r="Q29">
        <v>96.5</v>
      </c>
      <c r="R29">
        <v>3.5</v>
      </c>
      <c r="S29" t="s">
        <v>34</v>
      </c>
      <c r="T29" t="s">
        <v>35</v>
      </c>
      <c r="U29" t="s">
        <v>36</v>
      </c>
      <c r="V29">
        <v>12</v>
      </c>
      <c r="W29">
        <v>20</v>
      </c>
      <c r="X29">
        <v>2.4E-2</v>
      </c>
      <c r="Y29">
        <v>0.2</v>
      </c>
      <c r="Z29" t="s">
        <v>37</v>
      </c>
      <c r="AA29" t="s">
        <v>38</v>
      </c>
      <c r="AB29" t="s">
        <v>39</v>
      </c>
    </row>
    <row r="30" spans="1:28" x14ac:dyDescent="0.3">
      <c r="A30">
        <v>29</v>
      </c>
      <c r="B30" s="2" t="str">
        <f t="shared" si="0"/>
        <v>FC(C1=CC=C(/C=C/C(C2=CC=CC=C2)=O)C=C1)(F)F</v>
      </c>
      <c r="C30" s="2" t="str">
        <f t="shared" si="1"/>
        <v>FC(C3=CC=C(C=C3)[C@@H]4O[C@H]4C(C5=CC=CC=C5)=O)(F)F</v>
      </c>
      <c r="D30" t="s">
        <v>174</v>
      </c>
      <c r="E30" t="s">
        <v>175</v>
      </c>
      <c r="F30" t="s">
        <v>176</v>
      </c>
      <c r="G30" t="s">
        <v>177</v>
      </c>
      <c r="H30" t="s">
        <v>259</v>
      </c>
      <c r="I30" t="s">
        <v>29</v>
      </c>
      <c r="J30" t="s">
        <v>30</v>
      </c>
      <c r="K30">
        <v>0</v>
      </c>
      <c r="L30" t="s">
        <v>31</v>
      </c>
      <c r="M30" t="s">
        <v>178</v>
      </c>
      <c r="N30">
        <v>85</v>
      </c>
      <c r="O30">
        <f t="shared" si="2"/>
        <v>1</v>
      </c>
      <c r="P30" s="1">
        <v>85</v>
      </c>
      <c r="Q30">
        <v>92.5</v>
      </c>
      <c r="R30">
        <v>7.5</v>
      </c>
      <c r="S30" t="s">
        <v>34</v>
      </c>
      <c r="T30" t="s">
        <v>35</v>
      </c>
      <c r="U30" t="s">
        <v>36</v>
      </c>
      <c r="V30">
        <v>12</v>
      </c>
      <c r="W30">
        <v>20</v>
      </c>
      <c r="X30">
        <v>2.4E-2</v>
      </c>
      <c r="Y30">
        <v>0.2</v>
      </c>
      <c r="Z30" t="s">
        <v>37</v>
      </c>
      <c r="AA30" t="s">
        <v>38</v>
      </c>
      <c r="AB30" t="s">
        <v>39</v>
      </c>
    </row>
    <row r="31" spans="1:28" x14ac:dyDescent="0.3">
      <c r="A31">
        <v>30</v>
      </c>
      <c r="B31" s="2" t="str">
        <f t="shared" si="0"/>
        <v>FC1=CC=C(/C=C/C(C2=CC=C(C=C2)[N+]([O-])=O)=O)C=C1</v>
      </c>
      <c r="C31" s="2" t="str">
        <f t="shared" si="1"/>
        <v>FC3=CC=C(C=C3)[C@@H]4O[C@H]4C(C5=CC=C(C=C5)[N+]([O-])=O)=O</v>
      </c>
      <c r="D31" t="s">
        <v>179</v>
      </c>
      <c r="E31" t="s">
        <v>180</v>
      </c>
      <c r="F31" t="s">
        <v>181</v>
      </c>
      <c r="G31" t="s">
        <v>182</v>
      </c>
      <c r="H31" t="s">
        <v>289</v>
      </c>
      <c r="I31" t="s">
        <v>29</v>
      </c>
      <c r="J31" t="s">
        <v>30</v>
      </c>
      <c r="K31">
        <v>0</v>
      </c>
      <c r="L31" t="s">
        <v>31</v>
      </c>
      <c r="M31" t="s">
        <v>32</v>
      </c>
      <c r="N31" t="s">
        <v>183</v>
      </c>
      <c r="O31">
        <f t="shared" si="2"/>
        <v>1</v>
      </c>
      <c r="P31" s="1">
        <v>90</v>
      </c>
      <c r="Q31">
        <v>95</v>
      </c>
      <c r="R31">
        <v>5</v>
      </c>
      <c r="S31" t="s">
        <v>34</v>
      </c>
      <c r="T31" t="s">
        <v>35</v>
      </c>
      <c r="U31" t="s">
        <v>36</v>
      </c>
      <c r="V31">
        <v>12</v>
      </c>
      <c r="W31">
        <v>20</v>
      </c>
      <c r="X31">
        <v>2.4E-2</v>
      </c>
      <c r="Y31">
        <v>0.2</v>
      </c>
      <c r="Z31" t="s">
        <v>37</v>
      </c>
      <c r="AA31" t="s">
        <v>38</v>
      </c>
      <c r="AB31" t="s">
        <v>39</v>
      </c>
    </row>
    <row r="32" spans="1:28" x14ac:dyDescent="0.3">
      <c r="A32">
        <v>31</v>
      </c>
      <c r="B32" s="2" t="str">
        <f t="shared" si="0"/>
        <v>COC1=CC(/C=C/C(C2=CC=CC=C2)=O)=CC=C1</v>
      </c>
      <c r="C32" s="2" t="str">
        <f t="shared" si="1"/>
        <v>COC3=CC([C@@H]4O[C@H]4C(C5=CC=CC=C5)=O)=CC=C3</v>
      </c>
      <c r="D32" t="s">
        <v>184</v>
      </c>
      <c r="E32" t="s">
        <v>185</v>
      </c>
      <c r="F32" t="s">
        <v>186</v>
      </c>
      <c r="G32" t="s">
        <v>187</v>
      </c>
      <c r="H32" t="s">
        <v>260</v>
      </c>
      <c r="I32" t="s">
        <v>29</v>
      </c>
      <c r="J32" t="s">
        <v>30</v>
      </c>
      <c r="K32">
        <v>0</v>
      </c>
      <c r="L32" t="s">
        <v>31</v>
      </c>
      <c r="M32" t="s">
        <v>188</v>
      </c>
      <c r="N32">
        <v>68</v>
      </c>
      <c r="O32">
        <f t="shared" si="2"/>
        <v>1</v>
      </c>
      <c r="P32" s="1">
        <v>78</v>
      </c>
      <c r="Q32">
        <v>89</v>
      </c>
      <c r="R32">
        <v>11</v>
      </c>
      <c r="S32" t="s">
        <v>34</v>
      </c>
      <c r="T32" t="s">
        <v>35</v>
      </c>
      <c r="U32" t="s">
        <v>36</v>
      </c>
      <c r="V32">
        <v>12</v>
      </c>
      <c r="W32">
        <v>20</v>
      </c>
      <c r="X32">
        <v>2.4E-2</v>
      </c>
      <c r="Y32">
        <v>0.2</v>
      </c>
      <c r="Z32" t="s">
        <v>37</v>
      </c>
      <c r="AA32" t="s">
        <v>38</v>
      </c>
      <c r="AB32" t="s">
        <v>39</v>
      </c>
    </row>
    <row r="33" spans="1:28" x14ac:dyDescent="0.3">
      <c r="A33">
        <v>32</v>
      </c>
      <c r="B33" s="2" t="str">
        <f t="shared" si="0"/>
        <v>CN1C=CC=C1C(/C=C/C2=CC=CC=C2)=O</v>
      </c>
      <c r="C33" s="2" t="str">
        <f t="shared" si="1"/>
        <v>CN3C=CC=C3C([C@@H]4O[C@H]4C5=CC=CC=C5)=O</v>
      </c>
      <c r="D33" t="s">
        <v>189</v>
      </c>
      <c r="E33" t="s">
        <v>190</v>
      </c>
      <c r="F33" t="s">
        <v>191</v>
      </c>
      <c r="G33" t="s">
        <v>192</v>
      </c>
      <c r="H33" t="s">
        <v>261</v>
      </c>
      <c r="I33" t="s">
        <v>29</v>
      </c>
      <c r="J33" t="s">
        <v>30</v>
      </c>
      <c r="K33">
        <v>0</v>
      </c>
      <c r="L33" t="s">
        <v>31</v>
      </c>
      <c r="M33" t="s">
        <v>32</v>
      </c>
      <c r="N33" t="s">
        <v>125</v>
      </c>
      <c r="O33">
        <f t="shared" si="2"/>
        <v>1</v>
      </c>
      <c r="P33" s="1">
        <v>94</v>
      </c>
      <c r="Q33">
        <v>97</v>
      </c>
      <c r="R33">
        <v>3</v>
      </c>
      <c r="S33" t="s">
        <v>34</v>
      </c>
      <c r="T33" t="s">
        <v>35</v>
      </c>
      <c r="U33" t="s">
        <v>36</v>
      </c>
      <c r="V33">
        <v>12</v>
      </c>
      <c r="W33">
        <v>20</v>
      </c>
      <c r="X33">
        <v>2.4E-2</v>
      </c>
      <c r="Y33">
        <v>0.2</v>
      </c>
      <c r="Z33" t="s">
        <v>37</v>
      </c>
      <c r="AA33" t="s">
        <v>38</v>
      </c>
      <c r="AB33" t="s">
        <v>39</v>
      </c>
    </row>
    <row r="34" spans="1:28" x14ac:dyDescent="0.3">
      <c r="A34">
        <v>33</v>
      </c>
      <c r="B34" s="2" t="str">
        <f t="shared" si="0"/>
        <v>O=C(/C=C/C1=CC=CC=C1)C2=CC=CC3=C2C=CC=C3</v>
      </c>
      <c r="C34" s="2" t="str">
        <f t="shared" si="1"/>
        <v>O=C([C@@H]4O[C@H]4C5=CC=CC=C5)C6=C7C=CC=CC7=CC=C6</v>
      </c>
      <c r="D34" t="s">
        <v>193</v>
      </c>
      <c r="E34" t="s">
        <v>194</v>
      </c>
      <c r="F34" t="s">
        <v>195</v>
      </c>
      <c r="G34" t="s">
        <v>196</v>
      </c>
      <c r="H34" t="s">
        <v>262</v>
      </c>
      <c r="I34" t="s">
        <v>29</v>
      </c>
      <c r="J34" t="s">
        <v>30</v>
      </c>
      <c r="K34">
        <v>0</v>
      </c>
      <c r="L34" t="s">
        <v>31</v>
      </c>
      <c r="M34" t="s">
        <v>197</v>
      </c>
      <c r="N34">
        <v>38</v>
      </c>
      <c r="O34">
        <f t="shared" si="2"/>
        <v>1</v>
      </c>
      <c r="P34" s="1">
        <v>77</v>
      </c>
      <c r="Q34">
        <v>88.5</v>
      </c>
      <c r="R34">
        <v>11.5</v>
      </c>
      <c r="S34" t="s">
        <v>34</v>
      </c>
      <c r="T34" t="s">
        <v>35</v>
      </c>
      <c r="U34" t="s">
        <v>36</v>
      </c>
      <c r="V34">
        <v>12</v>
      </c>
      <c r="W34">
        <v>20</v>
      </c>
      <c r="X34">
        <v>2.4E-2</v>
      </c>
      <c r="Y34">
        <v>0.2</v>
      </c>
      <c r="Z34" t="s">
        <v>37</v>
      </c>
      <c r="AA34" t="s">
        <v>38</v>
      </c>
      <c r="AB34" t="s">
        <v>39</v>
      </c>
    </row>
    <row r="35" spans="1:28" x14ac:dyDescent="0.3">
      <c r="A35">
        <v>34</v>
      </c>
      <c r="B35" s="2" t="str">
        <f t="shared" si="0"/>
        <v>O=C(/C=C1CCCC=C\1)C2=CC=CC=C2</v>
      </c>
      <c r="C35" s="2" t="str">
        <f t="shared" si="1"/>
        <v>[H][C@@]34CCC/C([C@]3([H])O4)=C\C(C5=CC=CC=C5)=O</v>
      </c>
      <c r="D35" t="s">
        <v>198</v>
      </c>
      <c r="E35" t="s">
        <v>199</v>
      </c>
      <c r="F35" t="s">
        <v>200</v>
      </c>
      <c r="G35" t="s">
        <v>201</v>
      </c>
      <c r="H35" t="s">
        <v>263</v>
      </c>
      <c r="I35" t="s">
        <v>29</v>
      </c>
      <c r="J35" t="s">
        <v>30</v>
      </c>
      <c r="K35">
        <v>0</v>
      </c>
      <c r="L35" t="s">
        <v>31</v>
      </c>
      <c r="M35" t="s">
        <v>202</v>
      </c>
      <c r="N35">
        <v>14</v>
      </c>
      <c r="O35">
        <f t="shared" si="2"/>
        <v>1</v>
      </c>
      <c r="P35" s="1">
        <v>90</v>
      </c>
      <c r="Q35">
        <v>95</v>
      </c>
      <c r="R35">
        <v>5</v>
      </c>
      <c r="S35" t="s">
        <v>34</v>
      </c>
      <c r="T35" t="s">
        <v>35</v>
      </c>
      <c r="U35" t="s">
        <v>36</v>
      </c>
      <c r="V35">
        <v>12</v>
      </c>
      <c r="W35">
        <v>20</v>
      </c>
      <c r="X35">
        <v>2.4E-2</v>
      </c>
      <c r="Y35">
        <v>0.2</v>
      </c>
      <c r="Z35" t="s">
        <v>37</v>
      </c>
      <c r="AA35" t="s">
        <v>38</v>
      </c>
      <c r="AB35" t="s">
        <v>39</v>
      </c>
    </row>
    <row r="36" spans="1:28" x14ac:dyDescent="0.3">
      <c r="A36">
        <v>35</v>
      </c>
      <c r="B36" s="2" t="str">
        <f t="shared" si="0"/>
        <v>CC(C)/C=C/C(C1=CC=CC=C1)=O</v>
      </c>
      <c r="C36" s="2" t="str">
        <f t="shared" si="1"/>
        <v>CC(C)[C@@H]2O[C@H]2C(C3=CC=CC=C3)=O</v>
      </c>
      <c r="D36" t="s">
        <v>203</v>
      </c>
      <c r="E36" t="s">
        <v>204</v>
      </c>
      <c r="F36" t="s">
        <v>205</v>
      </c>
      <c r="G36" t="s">
        <v>206</v>
      </c>
      <c r="H36" t="s">
        <v>264</v>
      </c>
      <c r="I36" t="s">
        <v>29</v>
      </c>
      <c r="J36" t="s">
        <v>30</v>
      </c>
      <c r="K36">
        <v>0</v>
      </c>
      <c r="L36" t="s">
        <v>31</v>
      </c>
      <c r="M36" t="s">
        <v>207</v>
      </c>
      <c r="N36">
        <v>39</v>
      </c>
      <c r="O36">
        <f t="shared" si="2"/>
        <v>1</v>
      </c>
      <c r="P36" s="1">
        <v>79</v>
      </c>
      <c r="Q36">
        <v>89.5</v>
      </c>
      <c r="R36">
        <v>10.5</v>
      </c>
      <c r="S36" t="s">
        <v>34</v>
      </c>
      <c r="T36" t="s">
        <v>35</v>
      </c>
      <c r="U36" t="s">
        <v>36</v>
      </c>
      <c r="V36">
        <v>12</v>
      </c>
      <c r="W36">
        <v>20</v>
      </c>
      <c r="X36">
        <v>2.4E-2</v>
      </c>
      <c r="Y36">
        <v>0.2</v>
      </c>
      <c r="Z36" t="s">
        <v>37</v>
      </c>
      <c r="AA36" t="s">
        <v>38</v>
      </c>
      <c r="AB36" t="s">
        <v>39</v>
      </c>
    </row>
    <row r="37" spans="1:28" x14ac:dyDescent="0.3">
      <c r="A37">
        <v>36</v>
      </c>
      <c r="B37" s="2" t="str">
        <f t="shared" si="0"/>
        <v>CC1=CC=C(C=C1)/C=C/C(C2=CC=C([N+]([O-])=O)C=C2)=O</v>
      </c>
      <c r="C37" s="2" t="str">
        <f t="shared" si="1"/>
        <v>CC3=CC=C([C@@H]4O[C@H]4C(C5=CC=C([N+]([O-])=O)C=C5)=O)C=C3</v>
      </c>
      <c r="D37" t="s">
        <v>208</v>
      </c>
      <c r="E37" t="s">
        <v>209</v>
      </c>
      <c r="F37" t="s">
        <v>210</v>
      </c>
      <c r="G37" t="s">
        <v>211</v>
      </c>
      <c r="H37" t="s">
        <v>290</v>
      </c>
      <c r="I37" t="s">
        <v>29</v>
      </c>
      <c r="J37" t="s">
        <v>30</v>
      </c>
      <c r="K37">
        <v>0</v>
      </c>
      <c r="L37" t="s">
        <v>31</v>
      </c>
      <c r="M37" t="s">
        <v>212</v>
      </c>
      <c r="N37">
        <v>29</v>
      </c>
      <c r="O37">
        <f t="shared" si="2"/>
        <v>1</v>
      </c>
      <c r="P37" s="1">
        <v>52</v>
      </c>
      <c r="Q37">
        <v>76</v>
      </c>
      <c r="R37">
        <v>24</v>
      </c>
      <c r="S37" t="s">
        <v>34</v>
      </c>
      <c r="T37" t="s">
        <v>35</v>
      </c>
      <c r="U37" t="s">
        <v>36</v>
      </c>
      <c r="V37">
        <v>12</v>
      </c>
      <c r="W37">
        <v>20</v>
      </c>
      <c r="X37">
        <v>2.4E-2</v>
      </c>
      <c r="Y37">
        <v>0.2</v>
      </c>
      <c r="Z37" t="s">
        <v>37</v>
      </c>
      <c r="AA37" t="s">
        <v>38</v>
      </c>
      <c r="AB37" t="s">
        <v>39</v>
      </c>
    </row>
    <row r="38" spans="1:28" x14ac:dyDescent="0.3">
      <c r="A38">
        <v>37</v>
      </c>
      <c r="B38" s="2" t="str">
        <f t="shared" si="0"/>
        <v>ClC1=CC=C(/C=C/C(C2=CC=C(C=C2)[N+]([O-])=O)=O)C=C1</v>
      </c>
      <c r="C38" s="2" t="str">
        <f t="shared" si="1"/>
        <v>ClC3=CC=C(C=C3)[C@@H]4O[C@H]4C(C5=CC=C(C=C5)[N+]([O-])=O)=O</v>
      </c>
      <c r="D38" t="s">
        <v>213</v>
      </c>
      <c r="E38" t="s">
        <v>214</v>
      </c>
      <c r="F38" t="s">
        <v>215</v>
      </c>
      <c r="G38" t="s">
        <v>216</v>
      </c>
      <c r="H38" t="s">
        <v>291</v>
      </c>
      <c r="I38" t="s">
        <v>29</v>
      </c>
      <c r="J38" t="s">
        <v>30</v>
      </c>
      <c r="K38">
        <v>0</v>
      </c>
      <c r="L38" t="s">
        <v>31</v>
      </c>
      <c r="M38" t="s">
        <v>217</v>
      </c>
      <c r="N38">
        <v>74</v>
      </c>
      <c r="O38">
        <f t="shared" si="2"/>
        <v>1</v>
      </c>
      <c r="P38" s="1">
        <v>81</v>
      </c>
      <c r="Q38">
        <v>90.5</v>
      </c>
      <c r="R38">
        <v>9.5</v>
      </c>
      <c r="S38" t="s">
        <v>34</v>
      </c>
      <c r="T38" t="s">
        <v>35</v>
      </c>
      <c r="U38" t="s">
        <v>36</v>
      </c>
      <c r="V38">
        <v>12</v>
      </c>
      <c r="W38">
        <v>20</v>
      </c>
      <c r="X38">
        <v>2.4E-2</v>
      </c>
      <c r="Y38">
        <v>0.2</v>
      </c>
      <c r="Z38" t="s">
        <v>37</v>
      </c>
      <c r="AA38" t="s">
        <v>38</v>
      </c>
      <c r="AB38" t="s">
        <v>39</v>
      </c>
    </row>
    <row r="39" spans="1:28" x14ac:dyDescent="0.3">
      <c r="A39">
        <v>38</v>
      </c>
      <c r="B39" s="2" t="str">
        <f t="shared" si="0"/>
        <v>O=C(/C=C/C(C1=CC=CC=C1)=O)C2=CC=CC=C2</v>
      </c>
      <c r="C39" s="2" t="str">
        <f t="shared" si="1"/>
        <v>O=C([C@@H]3O[C@H]3C(C4=CC=CC=C4)=O)C5=CC=CC=C5</v>
      </c>
      <c r="D39" t="s">
        <v>218</v>
      </c>
      <c r="E39" t="s">
        <v>219</v>
      </c>
      <c r="F39" t="s">
        <v>220</v>
      </c>
      <c r="G39" t="s">
        <v>221</v>
      </c>
      <c r="H39" t="s">
        <v>265</v>
      </c>
      <c r="I39" t="s">
        <v>29</v>
      </c>
      <c r="J39" t="s">
        <v>30</v>
      </c>
      <c r="K39">
        <v>0</v>
      </c>
      <c r="L39" t="s">
        <v>31</v>
      </c>
      <c r="M39" t="s">
        <v>222</v>
      </c>
      <c r="N39">
        <v>65</v>
      </c>
      <c r="O39">
        <f t="shared" si="2"/>
        <v>1</v>
      </c>
      <c r="P39" s="1">
        <v>18</v>
      </c>
      <c r="Q39">
        <v>59</v>
      </c>
      <c r="R39">
        <v>41</v>
      </c>
      <c r="S39" t="s">
        <v>34</v>
      </c>
      <c r="T39" t="s">
        <v>35</v>
      </c>
      <c r="U39" t="s">
        <v>36</v>
      </c>
      <c r="V39">
        <v>12</v>
      </c>
      <c r="W39">
        <v>20</v>
      </c>
      <c r="X39">
        <v>2.4E-2</v>
      </c>
      <c r="Y39">
        <v>0.2</v>
      </c>
      <c r="Z39" t="s">
        <v>37</v>
      </c>
      <c r="AA39" t="s">
        <v>38</v>
      </c>
      <c r="AB39" t="s">
        <v>39</v>
      </c>
    </row>
    <row r="40" spans="1:28" x14ac:dyDescent="0.3">
      <c r="A40">
        <v>39</v>
      </c>
      <c r="B40" s="2" t="str">
        <f t="shared" si="0"/>
        <v>CCCCC/C=C/C(C)=O</v>
      </c>
      <c r="C40" s="2" t="str">
        <f t="shared" si="1"/>
        <v>CCCCC[C@@H]1O[C@H]1C(C)=O</v>
      </c>
      <c r="D40" t="s">
        <v>223</v>
      </c>
      <c r="E40" t="s">
        <v>224</v>
      </c>
      <c r="F40" t="s">
        <v>225</v>
      </c>
      <c r="G40" t="s">
        <v>226</v>
      </c>
      <c r="H40" t="s">
        <v>266</v>
      </c>
      <c r="I40" t="s">
        <v>29</v>
      </c>
      <c r="J40" t="s">
        <v>30</v>
      </c>
      <c r="K40">
        <v>0</v>
      </c>
      <c r="L40" t="s">
        <v>31</v>
      </c>
      <c r="M40" t="s">
        <v>227</v>
      </c>
      <c r="N40">
        <v>88</v>
      </c>
      <c r="O40">
        <f t="shared" si="2"/>
        <v>1</v>
      </c>
      <c r="P40" s="1">
        <v>70</v>
      </c>
      <c r="Q40">
        <v>85</v>
      </c>
      <c r="R40">
        <v>15</v>
      </c>
      <c r="S40" t="s">
        <v>34</v>
      </c>
      <c r="T40" t="s">
        <v>35</v>
      </c>
      <c r="U40" t="s">
        <v>36</v>
      </c>
      <c r="V40">
        <v>12</v>
      </c>
      <c r="W40">
        <v>20</v>
      </c>
      <c r="X40">
        <v>2.4E-2</v>
      </c>
      <c r="Y40">
        <v>0.2</v>
      </c>
      <c r="Z40" t="s">
        <v>37</v>
      </c>
      <c r="AA40" t="s">
        <v>38</v>
      </c>
      <c r="AB40" t="s">
        <v>39</v>
      </c>
    </row>
    <row r="41" spans="1:28" x14ac:dyDescent="0.3">
      <c r="A41">
        <v>40</v>
      </c>
      <c r="B41" s="2" t="str">
        <f t="shared" si="0"/>
        <v>O=C1C(C)=CCCC1</v>
      </c>
      <c r="C41" s="2" t="str">
        <f t="shared" si="1"/>
        <v>O=C2[C@@]3([C@H](CCC2)O3)C</v>
      </c>
      <c r="H41" t="s">
        <v>267</v>
      </c>
      <c r="I41" t="s">
        <v>29</v>
      </c>
      <c r="J41" t="s">
        <v>30</v>
      </c>
      <c r="K41">
        <v>0</v>
      </c>
      <c r="L41" t="s">
        <v>31</v>
      </c>
      <c r="N41">
        <v>0</v>
      </c>
      <c r="O41">
        <f t="shared" si="2"/>
        <v>0</v>
      </c>
      <c r="P41" s="1">
        <v>0</v>
      </c>
      <c r="S41" t="s">
        <v>34</v>
      </c>
      <c r="T41" t="s">
        <v>35</v>
      </c>
      <c r="U41" t="s">
        <v>36</v>
      </c>
      <c r="V41">
        <v>12</v>
      </c>
      <c r="W41">
        <v>20</v>
      </c>
      <c r="X41">
        <v>2.4E-2</v>
      </c>
      <c r="Y41">
        <v>0.2</v>
      </c>
      <c r="Z41" t="s">
        <v>37</v>
      </c>
      <c r="AA41" t="s">
        <v>38</v>
      </c>
    </row>
    <row r="42" spans="1:28" x14ac:dyDescent="0.3">
      <c r="A42">
        <v>41</v>
      </c>
      <c r="B42" s="2" t="str">
        <f t="shared" si="0"/>
        <v>CC1=CC=CC=C1/C=C/C(C2=CC=CC=C2)=O</v>
      </c>
      <c r="C42" s="2" t="str">
        <f t="shared" si="1"/>
        <v>CC3=CC=CC=C3[C@@H]4O[C@H]4C(C5=CC=CC=C5)=O</v>
      </c>
      <c r="H42" t="s">
        <v>268</v>
      </c>
      <c r="I42" t="s">
        <v>29</v>
      </c>
      <c r="J42" t="s">
        <v>30</v>
      </c>
      <c r="K42">
        <v>0</v>
      </c>
      <c r="L42" t="s">
        <v>31</v>
      </c>
      <c r="N42">
        <v>0</v>
      </c>
      <c r="O42">
        <f t="shared" si="2"/>
        <v>0</v>
      </c>
      <c r="P42" s="1">
        <v>0</v>
      </c>
      <c r="S42" t="s">
        <v>34</v>
      </c>
      <c r="T42" t="s">
        <v>35</v>
      </c>
      <c r="U42" t="s">
        <v>36</v>
      </c>
      <c r="V42">
        <v>12</v>
      </c>
      <c r="W42">
        <v>20</v>
      </c>
      <c r="X42">
        <v>2.4E-2</v>
      </c>
      <c r="Y42">
        <v>0.2</v>
      </c>
      <c r="Z42" t="s">
        <v>37</v>
      </c>
      <c r="AA42" t="s">
        <v>38</v>
      </c>
    </row>
    <row r="43" spans="1:28" x14ac:dyDescent="0.3">
      <c r="A43">
        <v>42</v>
      </c>
      <c r="B43" s="2" t="str">
        <f t="shared" si="0"/>
        <v>O=C(C1=CC=CC=C1)/C=C/C2=CC=CC=C2OC</v>
      </c>
      <c r="C43" s="2" t="str">
        <f t="shared" si="1"/>
        <v>O=C(C3=CC=CC=C3)[C@@H]4O[C@H]4C5=CC=CC=C5OC</v>
      </c>
      <c r="H43" t="s">
        <v>269</v>
      </c>
      <c r="I43" t="s">
        <v>29</v>
      </c>
      <c r="J43" t="s">
        <v>30</v>
      </c>
      <c r="K43">
        <v>0</v>
      </c>
      <c r="L43" t="s">
        <v>31</v>
      </c>
      <c r="N43">
        <v>0</v>
      </c>
      <c r="O43">
        <f t="shared" si="2"/>
        <v>0</v>
      </c>
      <c r="P43" s="1">
        <v>0</v>
      </c>
      <c r="S43" t="s">
        <v>34</v>
      </c>
      <c r="T43" t="s">
        <v>35</v>
      </c>
      <c r="U43" t="s">
        <v>36</v>
      </c>
      <c r="V43">
        <v>12</v>
      </c>
      <c r="W43">
        <v>20</v>
      </c>
      <c r="X43">
        <v>2.4E-2</v>
      </c>
      <c r="Y43">
        <v>0.2</v>
      </c>
      <c r="Z43" t="s">
        <v>37</v>
      </c>
      <c r="AA43" t="s">
        <v>38</v>
      </c>
    </row>
    <row r="44" spans="1:28" x14ac:dyDescent="0.3">
      <c r="A44">
        <v>43</v>
      </c>
      <c r="B44" s="2" t="str">
        <f t="shared" si="0"/>
        <v>O=C(C1=CC=CC=C1)/C=C/C2=CC=C(C=C2)OC</v>
      </c>
      <c r="C44" s="2" t="str">
        <f t="shared" si="1"/>
        <v>O=C(C3=CC=CC=C3)[C@@H]4O[C@H]4C5=CC=C(C=C5)OC</v>
      </c>
      <c r="H44" t="s">
        <v>270</v>
      </c>
      <c r="I44" t="s">
        <v>29</v>
      </c>
      <c r="J44" t="s">
        <v>30</v>
      </c>
      <c r="K44">
        <v>0</v>
      </c>
      <c r="L44" t="s">
        <v>31</v>
      </c>
      <c r="N44">
        <v>0</v>
      </c>
      <c r="O44">
        <f t="shared" si="2"/>
        <v>0</v>
      </c>
      <c r="P44" s="1">
        <v>0</v>
      </c>
      <c r="S44" t="s">
        <v>34</v>
      </c>
      <c r="T44" t="s">
        <v>35</v>
      </c>
      <c r="U44" t="s">
        <v>36</v>
      </c>
      <c r="V44">
        <v>12</v>
      </c>
      <c r="W44">
        <v>20</v>
      </c>
      <c r="X44">
        <v>2.4E-2</v>
      </c>
      <c r="Y44">
        <v>0.2</v>
      </c>
      <c r="Z44" t="s">
        <v>37</v>
      </c>
      <c r="AA44" t="s">
        <v>38</v>
      </c>
    </row>
    <row r="45" spans="1:28" x14ac:dyDescent="0.3">
      <c r="A45">
        <v>44</v>
      </c>
      <c r="B45" s="2" t="str">
        <f t="shared" si="0"/>
        <v>O=C(C1=CC=CC=C1)/C=C/C2=CC=CO2</v>
      </c>
      <c r="C45" s="2" t="str">
        <f t="shared" si="1"/>
        <v>O=C(C3=CC=CC=C3)[C@H]4O[C@H]4C5=CC=CO5</v>
      </c>
      <c r="H45" t="s">
        <v>271</v>
      </c>
      <c r="I45" t="s">
        <v>29</v>
      </c>
      <c r="J45" t="s">
        <v>30</v>
      </c>
      <c r="K45">
        <v>0</v>
      </c>
      <c r="L45" t="s">
        <v>31</v>
      </c>
      <c r="N45">
        <v>0</v>
      </c>
      <c r="O45">
        <f t="shared" si="2"/>
        <v>0</v>
      </c>
      <c r="P45" s="1">
        <v>0</v>
      </c>
      <c r="S45" t="s">
        <v>34</v>
      </c>
      <c r="T45" t="s">
        <v>35</v>
      </c>
      <c r="U45" t="s">
        <v>36</v>
      </c>
      <c r="V45">
        <v>12</v>
      </c>
      <c r="W45">
        <v>20</v>
      </c>
      <c r="X45">
        <v>2.4E-2</v>
      </c>
      <c r="Y45">
        <v>0.2</v>
      </c>
      <c r="Z45" t="s">
        <v>37</v>
      </c>
      <c r="AA45" t="s">
        <v>38</v>
      </c>
    </row>
    <row r="46" spans="1:28" x14ac:dyDescent="0.3">
      <c r="A46">
        <v>45</v>
      </c>
      <c r="B46" s="2" t="str">
        <f t="shared" si="0"/>
        <v>O=C(C1=CC=CC=C1)/C=C/C2=CC=CN2</v>
      </c>
      <c r="C46" s="2" t="str">
        <f t="shared" si="1"/>
        <v>O=C(C3=CC=CC=C3)[C@@H]4O[C@H]4C5=CC=CN5</v>
      </c>
      <c r="H46" t="s">
        <v>272</v>
      </c>
      <c r="I46" t="s">
        <v>29</v>
      </c>
      <c r="J46" t="s">
        <v>30</v>
      </c>
      <c r="K46">
        <v>0</v>
      </c>
      <c r="L46" t="s">
        <v>31</v>
      </c>
      <c r="N46">
        <v>0</v>
      </c>
      <c r="O46">
        <f t="shared" si="2"/>
        <v>0</v>
      </c>
      <c r="P46" s="1">
        <v>0</v>
      </c>
      <c r="S46" t="s">
        <v>34</v>
      </c>
      <c r="T46" t="s">
        <v>35</v>
      </c>
      <c r="U46" t="s">
        <v>36</v>
      </c>
      <c r="V46">
        <v>12</v>
      </c>
      <c r="W46">
        <v>20</v>
      </c>
      <c r="X46">
        <v>2.4E-2</v>
      </c>
      <c r="Y46">
        <v>0.2</v>
      </c>
      <c r="Z46" t="s">
        <v>37</v>
      </c>
      <c r="AA46" t="s">
        <v>38</v>
      </c>
    </row>
    <row r="47" spans="1:28" x14ac:dyDescent="0.3">
      <c r="A47">
        <v>46</v>
      </c>
      <c r="B47" s="2" t="str">
        <f t="shared" si="0"/>
        <v>O=C(C1=CC=CC=C1)/C=C/C2=CC=CS2</v>
      </c>
      <c r="C47" s="2" t="str">
        <f t="shared" si="1"/>
        <v>O=C(C3=CC=CC=C3)[C@@H]4O[C@@H]4C5=CC=CS5</v>
      </c>
      <c r="H47" t="s">
        <v>273</v>
      </c>
      <c r="I47" t="s">
        <v>29</v>
      </c>
      <c r="J47" t="s">
        <v>30</v>
      </c>
      <c r="K47">
        <v>0</v>
      </c>
      <c r="L47" t="s">
        <v>31</v>
      </c>
      <c r="N47">
        <v>0</v>
      </c>
      <c r="O47">
        <f t="shared" si="2"/>
        <v>0</v>
      </c>
      <c r="P47" s="1">
        <v>0</v>
      </c>
      <c r="S47" t="s">
        <v>34</v>
      </c>
      <c r="T47" t="s">
        <v>35</v>
      </c>
      <c r="U47" t="s">
        <v>36</v>
      </c>
      <c r="V47">
        <v>12</v>
      </c>
      <c r="W47">
        <v>20</v>
      </c>
      <c r="X47">
        <v>2.4E-2</v>
      </c>
      <c r="Y47">
        <v>0.2</v>
      </c>
      <c r="Z47" t="s">
        <v>37</v>
      </c>
      <c r="AA47" t="s">
        <v>38</v>
      </c>
    </row>
    <row r="48" spans="1:28" x14ac:dyDescent="0.3">
      <c r="A48">
        <v>47</v>
      </c>
      <c r="B48" s="2" t="str">
        <f t="shared" si="0"/>
        <v>O=C(C1=CC=CC=C1)/C=C2CCCCCC\2</v>
      </c>
      <c r="C48" s="2" t="str">
        <f t="shared" si="1"/>
        <v>O=C(C3=CC=CC=C3)[C@@H]4OC45CCCCCC5</v>
      </c>
      <c r="H48" t="s">
        <v>274</v>
      </c>
      <c r="I48" t="s">
        <v>29</v>
      </c>
      <c r="J48" t="s">
        <v>30</v>
      </c>
      <c r="K48">
        <v>0</v>
      </c>
      <c r="L48" t="s">
        <v>31</v>
      </c>
      <c r="N48">
        <v>0</v>
      </c>
      <c r="O48">
        <f t="shared" si="2"/>
        <v>0</v>
      </c>
      <c r="P48" s="1">
        <v>0</v>
      </c>
      <c r="S48" t="s">
        <v>34</v>
      </c>
      <c r="T48" t="s">
        <v>35</v>
      </c>
      <c r="U48" t="s">
        <v>36</v>
      </c>
      <c r="V48">
        <v>12</v>
      </c>
      <c r="W48">
        <v>20</v>
      </c>
      <c r="X48">
        <v>2.4E-2</v>
      </c>
      <c r="Y48">
        <v>0.2</v>
      </c>
      <c r="Z48" t="s">
        <v>37</v>
      </c>
      <c r="AA48" t="s">
        <v>38</v>
      </c>
    </row>
    <row r="49" spans="1:27" x14ac:dyDescent="0.3">
      <c r="A49">
        <v>48</v>
      </c>
      <c r="B49" s="2" t="str">
        <f t="shared" si="0"/>
        <v>CCCCCCC(/C=C/C1=CC=CC=C1)=O</v>
      </c>
      <c r="C49" s="2" t="str">
        <f t="shared" si="1"/>
        <v>CCCCCCC([C@@H]2O[C@H]2C3=CC=CC=C3)=O</v>
      </c>
      <c r="H49" t="s">
        <v>275</v>
      </c>
      <c r="I49" t="s">
        <v>29</v>
      </c>
      <c r="J49" t="s">
        <v>30</v>
      </c>
      <c r="K49">
        <v>0</v>
      </c>
      <c r="L49" t="s">
        <v>31</v>
      </c>
      <c r="N49">
        <v>0</v>
      </c>
      <c r="O49">
        <f t="shared" si="2"/>
        <v>0</v>
      </c>
      <c r="P49" s="1">
        <v>0</v>
      </c>
      <c r="S49" t="s">
        <v>34</v>
      </c>
      <c r="T49" t="s">
        <v>35</v>
      </c>
      <c r="U49" t="s">
        <v>36</v>
      </c>
      <c r="V49">
        <v>12</v>
      </c>
      <c r="W49">
        <v>20</v>
      </c>
      <c r="X49">
        <v>2.4E-2</v>
      </c>
      <c r="Y49">
        <v>0.2</v>
      </c>
      <c r="Z49" t="s">
        <v>37</v>
      </c>
      <c r="AA49" t="s">
        <v>38</v>
      </c>
    </row>
    <row r="50" spans="1:27" x14ac:dyDescent="0.3">
      <c r="A50">
        <v>49</v>
      </c>
      <c r="B50" s="2" t="str">
        <f t="shared" si="0"/>
        <v>O=C1CCC(C2=CC=CC=C2)=C1</v>
      </c>
      <c r="C50" s="2" t="s">
        <v>295</v>
      </c>
      <c r="D50" s="2" t="s">
        <v>294</v>
      </c>
      <c r="H50" t="s">
        <v>276</v>
      </c>
      <c r="I50" t="s">
        <v>29</v>
      </c>
      <c r="J50" t="s">
        <v>30</v>
      </c>
      <c r="K50">
        <v>0</v>
      </c>
      <c r="L50" t="s">
        <v>31</v>
      </c>
      <c r="N50">
        <v>0</v>
      </c>
      <c r="O50">
        <f t="shared" si="2"/>
        <v>0</v>
      </c>
      <c r="P50" s="1">
        <v>0</v>
      </c>
      <c r="S50" t="s">
        <v>34</v>
      </c>
      <c r="T50" t="s">
        <v>35</v>
      </c>
      <c r="U50" t="s">
        <v>36</v>
      </c>
      <c r="V50">
        <v>12</v>
      </c>
      <c r="W50">
        <v>20</v>
      </c>
      <c r="X50">
        <v>2.4E-2</v>
      </c>
      <c r="Y50">
        <v>0.2</v>
      </c>
      <c r="Z50" t="s">
        <v>37</v>
      </c>
      <c r="AA50" t="s">
        <v>38</v>
      </c>
    </row>
    <row r="51" spans="1:27" x14ac:dyDescent="0.3">
      <c r="A51">
        <v>50</v>
      </c>
      <c r="B51" s="2" t="str">
        <f t="shared" si="0"/>
        <v>CC1=CC=C(C=C1)C(/C=C/C2=C(C=C(C=C2C)C)C)=O</v>
      </c>
      <c r="C51" s="2" t="str">
        <f t="shared" si="1"/>
        <v>CC3=CC=C(C=C3)C([C@@H]4O[C@H]4C5=C(C=C(C=C5C)C)C)=O</v>
      </c>
      <c r="H51" t="s">
        <v>277</v>
      </c>
      <c r="I51" t="s">
        <v>29</v>
      </c>
      <c r="J51" t="s">
        <v>30</v>
      </c>
      <c r="K51">
        <v>0</v>
      </c>
      <c r="L51" t="s">
        <v>31</v>
      </c>
      <c r="N51">
        <v>0</v>
      </c>
      <c r="O51">
        <f t="shared" si="2"/>
        <v>0</v>
      </c>
      <c r="P51" s="1">
        <v>0</v>
      </c>
      <c r="S51" t="s">
        <v>34</v>
      </c>
      <c r="T51" t="s">
        <v>35</v>
      </c>
      <c r="U51" t="s">
        <v>36</v>
      </c>
      <c r="V51">
        <v>12</v>
      </c>
      <c r="W51">
        <v>20</v>
      </c>
      <c r="X51">
        <v>2.4E-2</v>
      </c>
      <c r="Y51">
        <v>0.2</v>
      </c>
      <c r="Z51" t="s">
        <v>37</v>
      </c>
      <c r="AA51" t="s">
        <v>38</v>
      </c>
    </row>
    <row r="52" spans="1:27" x14ac:dyDescent="0.3">
      <c r="A52">
        <v>51</v>
      </c>
      <c r="B52" s="2" t="str">
        <f t="shared" si="0"/>
        <v>O=C(C1=CC=C(C=C1)[N+]([O-])=O)/C=C/C2=C(C=C(C=C2C)C)C</v>
      </c>
      <c r="C52" s="2" t="str">
        <f t="shared" si="1"/>
        <v>O=C(C3=CC=C(C=C3)[N+]([O-])=O)[C@@H]4O[C@H]4C5=C(C=C(C=C5C)C)C</v>
      </c>
      <c r="H52" t="s">
        <v>278</v>
      </c>
      <c r="I52" t="s">
        <v>29</v>
      </c>
      <c r="J52" t="s">
        <v>30</v>
      </c>
      <c r="K52">
        <v>0</v>
      </c>
      <c r="L52" t="s">
        <v>31</v>
      </c>
      <c r="N52">
        <v>0</v>
      </c>
      <c r="O52">
        <f t="shared" si="2"/>
        <v>0</v>
      </c>
      <c r="P52" s="1">
        <v>0</v>
      </c>
      <c r="S52" t="s">
        <v>34</v>
      </c>
      <c r="T52" t="s">
        <v>35</v>
      </c>
      <c r="U52" t="s">
        <v>36</v>
      </c>
      <c r="V52">
        <v>12</v>
      </c>
      <c r="W52">
        <v>20</v>
      </c>
      <c r="X52">
        <v>2.4E-2</v>
      </c>
      <c r="Y52">
        <v>0.2</v>
      </c>
      <c r="Z52" t="s">
        <v>37</v>
      </c>
      <c r="AA52" t="s">
        <v>38</v>
      </c>
    </row>
    <row r="53" spans="1:27" x14ac:dyDescent="0.3">
      <c r="A53">
        <v>52</v>
      </c>
      <c r="B53" s="2" t="str">
        <f t="shared" si="0"/>
        <v>O=C(/C1=C\C2=CC=CC=C2)CCCC1=O</v>
      </c>
      <c r="C53" s="2" t="str">
        <f t="shared" si="1"/>
        <v>O=C(C34[C@@H](C5=CC=CC=C5)O3)CCCC4=O</v>
      </c>
      <c r="H53" t="s">
        <v>279</v>
      </c>
      <c r="I53" t="s">
        <v>29</v>
      </c>
      <c r="J53" t="s">
        <v>30</v>
      </c>
      <c r="K53">
        <v>0</v>
      </c>
      <c r="L53" t="s">
        <v>31</v>
      </c>
      <c r="N53">
        <v>0</v>
      </c>
      <c r="O53">
        <f t="shared" si="2"/>
        <v>0</v>
      </c>
      <c r="P53" s="1">
        <v>0</v>
      </c>
      <c r="S53" t="s">
        <v>34</v>
      </c>
      <c r="T53" t="s">
        <v>35</v>
      </c>
      <c r="U53" t="s">
        <v>36</v>
      </c>
      <c r="V53">
        <v>12</v>
      </c>
      <c r="W53">
        <v>20</v>
      </c>
      <c r="X53">
        <v>2.4E-2</v>
      </c>
      <c r="Y53">
        <v>0.2</v>
      </c>
      <c r="Z53" t="s">
        <v>37</v>
      </c>
      <c r="AA53" t="s">
        <v>38</v>
      </c>
    </row>
    <row r="54" spans="1:27" x14ac:dyDescent="0.3">
      <c r="A54">
        <v>53</v>
      </c>
      <c r="B54" s="2" t="str">
        <f t="shared" si="0"/>
        <v>O=C(/C1=C/C2=CC=CC=C2)C=CC1=O</v>
      </c>
      <c r="C54" s="2" t="str">
        <f t="shared" si="1"/>
        <v>O=C(C(O3)4[C@H]3C5=CC=CC=C5)C=CC4=O</v>
      </c>
      <c r="H54" t="s">
        <v>280</v>
      </c>
      <c r="I54" t="s">
        <v>29</v>
      </c>
      <c r="J54" t="s">
        <v>30</v>
      </c>
      <c r="K54">
        <v>0</v>
      </c>
      <c r="L54" t="s">
        <v>31</v>
      </c>
      <c r="N54">
        <v>0</v>
      </c>
      <c r="O54">
        <f t="shared" si="2"/>
        <v>0</v>
      </c>
      <c r="P54" s="1">
        <v>0</v>
      </c>
      <c r="S54" t="s">
        <v>34</v>
      </c>
      <c r="T54" t="s">
        <v>35</v>
      </c>
      <c r="U54" t="s">
        <v>36</v>
      </c>
      <c r="V54">
        <v>12</v>
      </c>
      <c r="W54">
        <v>20</v>
      </c>
      <c r="X54">
        <v>2.4E-2</v>
      </c>
      <c r="Y54">
        <v>0.2</v>
      </c>
      <c r="Z54" t="s">
        <v>37</v>
      </c>
      <c r="AA54" t="s">
        <v>38</v>
      </c>
    </row>
    <row r="55" spans="1:27" x14ac:dyDescent="0.3">
      <c r="A55">
        <v>54</v>
      </c>
      <c r="B55" s="2" t="str">
        <f t="shared" si="0"/>
        <v>O=S(C1=CC=CC=C1)(/C=C/C2=CC=CC=C2)=O</v>
      </c>
      <c r="C55" s="2" t="str">
        <f t="shared" si="1"/>
        <v>O=S(C3=CC=CC=C3)([C@H]4O[C@H]4C5=CC=CC=C5)=O</v>
      </c>
      <c r="H55" t="s">
        <v>281</v>
      </c>
      <c r="I55" t="s">
        <v>29</v>
      </c>
      <c r="J55" t="s">
        <v>30</v>
      </c>
      <c r="K55">
        <v>0</v>
      </c>
      <c r="L55" t="s">
        <v>31</v>
      </c>
      <c r="N55">
        <v>0</v>
      </c>
      <c r="O55">
        <f t="shared" si="2"/>
        <v>0</v>
      </c>
      <c r="P55" s="1">
        <v>0</v>
      </c>
      <c r="S55" t="s">
        <v>34</v>
      </c>
      <c r="T55" t="s">
        <v>35</v>
      </c>
      <c r="U55" t="s">
        <v>36</v>
      </c>
      <c r="V55">
        <v>12</v>
      </c>
      <c r="W55">
        <v>20</v>
      </c>
      <c r="X55">
        <v>2.4E-2</v>
      </c>
      <c r="Y55">
        <v>0.2</v>
      </c>
      <c r="Z55" t="s">
        <v>37</v>
      </c>
      <c r="AA55" t="s">
        <v>38</v>
      </c>
    </row>
    <row r="56" spans="1:27" x14ac:dyDescent="0.3">
      <c r="A56">
        <v>55</v>
      </c>
      <c r="B56" s="2" t="str">
        <f t="shared" si="0"/>
        <v>O=[N+]([O-])/C=C/C1=CC=CC=C1</v>
      </c>
      <c r="C56" s="2" t="str">
        <f t="shared" si="1"/>
        <v>O=[N+]([O-])[C@H]2[C@H](C3=CC=CC=C3)O2</v>
      </c>
      <c r="H56" t="s">
        <v>282</v>
      </c>
      <c r="I56" t="s">
        <v>29</v>
      </c>
      <c r="J56" t="s">
        <v>30</v>
      </c>
      <c r="K56">
        <v>0</v>
      </c>
      <c r="L56" t="s">
        <v>31</v>
      </c>
      <c r="N56">
        <v>0</v>
      </c>
      <c r="O56">
        <f t="shared" si="2"/>
        <v>0</v>
      </c>
      <c r="P56" s="1">
        <v>0</v>
      </c>
      <c r="S56" t="s">
        <v>34</v>
      </c>
      <c r="T56" t="s">
        <v>35</v>
      </c>
      <c r="U56" t="s">
        <v>36</v>
      </c>
      <c r="V56">
        <v>12</v>
      </c>
      <c r="W56">
        <v>20</v>
      </c>
      <c r="X56">
        <v>2.4E-2</v>
      </c>
      <c r="Y56">
        <v>0.2</v>
      </c>
      <c r="Z56" t="s">
        <v>37</v>
      </c>
      <c r="AA56" t="s">
        <v>38</v>
      </c>
    </row>
    <row r="57" spans="1:27" x14ac:dyDescent="0.3">
      <c r="A57">
        <v>56</v>
      </c>
      <c r="B57" s="2" t="str">
        <f t="shared" si="0"/>
        <v>O=C(C1=CC=CC=C1)C/C=C/C2=CC=CC=C2</v>
      </c>
      <c r="C57" s="2" t="str">
        <f t="shared" si="1"/>
        <v>O=C(C3=CC=CC=C3)C[C@@H]4[C@@H](O4)C5=CC=CC=C5</v>
      </c>
      <c r="H57" t="s">
        <v>283</v>
      </c>
      <c r="I57" t="s">
        <v>29</v>
      </c>
      <c r="J57" t="s">
        <v>30</v>
      </c>
      <c r="K57">
        <v>0</v>
      </c>
      <c r="L57" t="s">
        <v>31</v>
      </c>
      <c r="N57">
        <v>0</v>
      </c>
      <c r="O57">
        <f t="shared" si="2"/>
        <v>0</v>
      </c>
      <c r="P57" s="1">
        <v>0</v>
      </c>
      <c r="S57" t="s">
        <v>34</v>
      </c>
      <c r="T57" t="s">
        <v>35</v>
      </c>
      <c r="U57" t="s">
        <v>36</v>
      </c>
      <c r="V57">
        <v>12</v>
      </c>
      <c r="W57">
        <v>20</v>
      </c>
      <c r="X57">
        <v>2.4E-2</v>
      </c>
      <c r="Y57">
        <v>0.2</v>
      </c>
      <c r="Z57" t="s">
        <v>37</v>
      </c>
      <c r="AA57" t="s">
        <v>38</v>
      </c>
    </row>
    <row r="58" spans="1:27" x14ac:dyDescent="0.3">
      <c r="A58">
        <v>57</v>
      </c>
      <c r="B58" s="2" t="str">
        <f t="shared" si="0"/>
        <v>OC/C=C/C1=CC=CC=C1</v>
      </c>
      <c r="C58" s="2" t="str">
        <f t="shared" si="1"/>
        <v>OC[C@@H]2[C@@H](O2)C3=CC=CC=C3</v>
      </c>
      <c r="H58" t="s">
        <v>284</v>
      </c>
      <c r="I58" t="s">
        <v>29</v>
      </c>
      <c r="J58" t="s">
        <v>30</v>
      </c>
      <c r="K58">
        <v>0</v>
      </c>
      <c r="L58" t="s">
        <v>31</v>
      </c>
      <c r="N58">
        <v>0</v>
      </c>
      <c r="O58">
        <f t="shared" si="2"/>
        <v>0</v>
      </c>
      <c r="P58" s="1">
        <v>0</v>
      </c>
      <c r="S58" t="s">
        <v>34</v>
      </c>
      <c r="T58" t="s">
        <v>35</v>
      </c>
      <c r="U58" t="s">
        <v>36</v>
      </c>
      <c r="V58">
        <v>12</v>
      </c>
      <c r="W58">
        <v>20</v>
      </c>
      <c r="X58">
        <v>2.4E-2</v>
      </c>
      <c r="Y58">
        <v>0.2</v>
      </c>
      <c r="Z58" t="s">
        <v>37</v>
      </c>
      <c r="AA58" t="s">
        <v>38</v>
      </c>
    </row>
    <row r="59" spans="1:27" x14ac:dyDescent="0.3">
      <c r="A59">
        <v>58</v>
      </c>
      <c r="B59" s="2" t="str">
        <f t="shared" si="0"/>
        <v>O=C(/C=C/C1=CC=C(OC2=CC=CC=C2)C=C1)C3=CC=CC=C3</v>
      </c>
      <c r="C59" s="2" t="str">
        <f t="shared" si="1"/>
        <v>O=C([C@H](O4)[C@@H]4C5=CC=C(OC6=CC=CC=C6)C=C5)C7=CC=CC=C7</v>
      </c>
      <c r="H59" t="s">
        <v>228</v>
      </c>
      <c r="O59">
        <f t="shared" si="2"/>
        <v>1</v>
      </c>
      <c r="P59">
        <v>97</v>
      </c>
    </row>
    <row r="60" spans="1:27" x14ac:dyDescent="0.3">
      <c r="A60">
        <v>59</v>
      </c>
      <c r="B60" s="2" t="str">
        <f t="shared" si="0"/>
        <v>O=C(/C=C/C1=CC=C(CC(C)C)C=C1)C2=CC=CC=C2</v>
      </c>
      <c r="C60" s="2" t="str">
        <f t="shared" si="1"/>
        <v>O=C([C@H](O3)[C@@H]3C4=CC=C(CC(C)C)C=C4)C5=CC=CC=C5</v>
      </c>
      <c r="H60" t="s">
        <v>229</v>
      </c>
      <c r="O60">
        <f t="shared" si="2"/>
        <v>1</v>
      </c>
      <c r="P60">
        <v>97</v>
      </c>
    </row>
    <row r="61" spans="1:27" x14ac:dyDescent="0.3">
      <c r="A61">
        <v>60</v>
      </c>
      <c r="B61" s="2" t="str">
        <f t="shared" si="0"/>
        <v>O=C(/C=C/C1=CC=C(C=C(OC)C=C2)C2=C1)C3=CC=CC=C3</v>
      </c>
      <c r="C61" s="2" t="str">
        <f t="shared" si="1"/>
        <v>O=C([C@H](O4)[C@@H]4C5=CC=C(C=C(OC)C=C6)C6=C5)C7=CC=CC=C7</v>
      </c>
      <c r="H61" t="s">
        <v>230</v>
      </c>
      <c r="O61">
        <f t="shared" si="2"/>
        <v>1</v>
      </c>
      <c r="P61">
        <v>97</v>
      </c>
    </row>
    <row r="62" spans="1:27" x14ac:dyDescent="0.3">
      <c r="A62">
        <v>61</v>
      </c>
      <c r="B62" s="2" t="str">
        <f t="shared" si="0"/>
        <v>O=C(/C=C/C1=CC=CC=C1)C(C)(C)C</v>
      </c>
      <c r="C62" s="2" t="str">
        <f t="shared" si="1"/>
        <v>O=C([C@H]2[C@@H](O2)C3=CC=CC=C3)C(C)(C)C</v>
      </c>
      <c r="H62" t="s">
        <v>231</v>
      </c>
      <c r="O62">
        <f t="shared" si="2"/>
        <v>0</v>
      </c>
      <c r="P62">
        <v>0</v>
      </c>
    </row>
    <row r="63" spans="1:27" x14ac:dyDescent="0.3">
      <c r="A63">
        <v>62</v>
      </c>
      <c r="B63" s="2" t="str">
        <f t="shared" si="0"/>
        <v>O=C(/C=C/C1=CC=C(OC)C=C1)C(C)(C)C</v>
      </c>
      <c r="C63" s="2" t="str">
        <f t="shared" si="1"/>
        <v>O=C([C@H]2[C@@H](O2)C3=CC=C(OC)C=C3)C(C)(C)C</v>
      </c>
      <c r="H63" t="s">
        <v>232</v>
      </c>
      <c r="O63">
        <f t="shared" si="2"/>
        <v>0</v>
      </c>
      <c r="P63">
        <v>0</v>
      </c>
    </row>
    <row r="64" spans="1:27" x14ac:dyDescent="0.3">
      <c r="A64">
        <v>63</v>
      </c>
      <c r="B64" s="2" t="str">
        <f t="shared" si="0"/>
        <v>O=C(/C=C/C1=CC=CC=C1)C2CCCCC2</v>
      </c>
      <c r="C64" s="2" t="str">
        <f t="shared" si="1"/>
        <v>O=C([C@H]3[C@@H](O3)C4=CC=CC=C4)C5CCCCC5</v>
      </c>
      <c r="H64" t="s">
        <v>233</v>
      </c>
      <c r="O64">
        <f t="shared" si="2"/>
        <v>0</v>
      </c>
      <c r="P64">
        <v>0</v>
      </c>
    </row>
    <row r="65" spans="1:16" x14ac:dyDescent="0.3">
      <c r="A65">
        <v>64</v>
      </c>
      <c r="B65" s="2" t="str">
        <f t="shared" ref="B65:B68" si="3">_xlfn.TEXTBEFORE(H65, "&gt;&gt;")</f>
        <v>O=C(/C=C/C1=CC=C(OC)C=C1)OCC</v>
      </c>
      <c r="C65" s="2" t="str">
        <f t="shared" si="1"/>
        <v>O=C([C@H]2[C@@H](O2)C3=CC=C(OC)C=C3)OCC</v>
      </c>
      <c r="H65" t="s">
        <v>234</v>
      </c>
      <c r="O65">
        <f t="shared" si="2"/>
        <v>0</v>
      </c>
      <c r="P65">
        <v>0</v>
      </c>
    </row>
    <row r="66" spans="1:16" x14ac:dyDescent="0.3">
      <c r="A66">
        <v>65</v>
      </c>
      <c r="B66" s="2" t="str">
        <f t="shared" si="3"/>
        <v>O=C(/C=C/C1=CC=C(Br)C=C1)OCC</v>
      </c>
      <c r="C66" s="2" t="str">
        <f t="shared" si="1"/>
        <v>O=C([C@H]2[C@@H](O2)C3=CC=C(Br)C=C3)OCC</v>
      </c>
      <c r="H66" t="s">
        <v>235</v>
      </c>
      <c r="O66">
        <f t="shared" si="2"/>
        <v>0</v>
      </c>
      <c r="P66">
        <v>0</v>
      </c>
    </row>
    <row r="67" spans="1:16" x14ac:dyDescent="0.3">
      <c r="A67">
        <v>66</v>
      </c>
      <c r="B67" s="2" t="str">
        <f t="shared" si="3"/>
        <v>O=C(/C=C/C1=CC=CC=C1)C2=CC=CN=C2</v>
      </c>
      <c r="C67" s="2" t="str">
        <f t="shared" ref="C67:C68" si="4">_xlfn.TEXTAFTER(H67,"&gt;&gt;")</f>
        <v>O=C([C@H](O3)[C@@H]3C4=CC=CC=C4)C5=CC=CN=C5</v>
      </c>
      <c r="H67" t="s">
        <v>236</v>
      </c>
      <c r="O67">
        <f t="shared" ref="O67:O68" si="5">IF(P67&gt;0,1,0)</f>
        <v>0</v>
      </c>
      <c r="P67">
        <v>0</v>
      </c>
    </row>
    <row r="68" spans="1:16" x14ac:dyDescent="0.3">
      <c r="A68">
        <v>67</v>
      </c>
      <c r="B68" s="2" t="str">
        <f t="shared" si="3"/>
        <v>CC(C1=CC[C@@]2([C@@]1(CC[C@]3([C@]2(CC=C4[C@@]3(CC[C@@H](C4)OC(C)=O)C)[H])[H])C)[H])=O</v>
      </c>
      <c r="C68" s="2" t="str">
        <f t="shared" si="4"/>
        <v>CC([C@@]56[C@H](C[C@@]7([C@@]6(CC[C@]8([C@]7(CC=C9[C@@]8(CC[C@@H](C9)OC(C)=O)C)[H])[H])C)[H])O5)=O</v>
      </c>
      <c r="H68" t="s">
        <v>285</v>
      </c>
      <c r="O68">
        <f t="shared" si="5"/>
        <v>0</v>
      </c>
      <c r="P68">
        <v>0</v>
      </c>
    </row>
  </sheetData>
  <conditionalFormatting sqref="B1:C1048576">
    <cfRule type="duplicateValues" dxfId="1" priority="2"/>
  </conditionalFormatting>
  <conditionalFormatting sqref="D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dcterms:created xsi:type="dcterms:W3CDTF">2015-06-05T18:17:20Z</dcterms:created>
  <dcterms:modified xsi:type="dcterms:W3CDTF">2026-02-08T14:07:55Z</dcterms:modified>
</cp:coreProperties>
</file>