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classifier_product\all\Data\"/>
    </mc:Choice>
  </mc:AlternateContent>
  <xr:revisionPtr revIDLastSave="0" documentId="13_ncr:1_{9A977705-85F9-4BE6-A385-7265676B7081}" xr6:coauthVersionLast="47" xr6:coauthVersionMax="47" xr10:uidLastSave="{00000000-0000-0000-0000-000000000000}"/>
  <bookViews>
    <workbookView xWindow="4152" yWindow="4152" windowWidth="23040" windowHeight="12120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Q3" i="1"/>
  <c r="Q4" i="1"/>
  <c r="Q5" i="1"/>
  <c r="Q6" i="1"/>
  <c r="Q7" i="1"/>
  <c r="Q8" i="1"/>
  <c r="Q9" i="1"/>
  <c r="Q10" i="1"/>
  <c r="Q2" i="1"/>
  <c r="S3" i="1"/>
  <c r="S4" i="1"/>
  <c r="S5" i="1"/>
  <c r="S6" i="1"/>
  <c r="S7" i="1"/>
  <c r="S8" i="1"/>
  <c r="S9" i="1"/>
  <c r="S10" i="1"/>
  <c r="S2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<sst xmlns="http://schemas.openxmlformats.org/spreadsheetml/2006/main" count="118" uniqueCount="81">
  <si>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</si>
  <si>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</si>
  <si>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</si>
  <si>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</si>
  <si>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</si>
  <si>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</si>
  <si>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</si>
  <si>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</si>
  <si>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</si>
  <si>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</si>
  <si>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</si>
  <si>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</si>
  <si>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</si>
  <si>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</si>
  <si>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</si>
  <si>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</si>
  <si>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</si>
  <si>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</si>
  <si>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</si>
  <si>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</si>
  <si>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</si>
  <si>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</si>
  <si>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</si>
  <si>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</si>
  <si>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</si>
  <si>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</si>
  <si>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</si>
  <si>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</si>
  <si>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</si>
  <si>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</si>
  <si>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</si>
  <si>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</si>
  <si>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</si>
  <si>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</si>
  <si>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</si>
  <si>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</si>
  <si>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</si>
  <si>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</si>
  <si>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</si>
  <si>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</si>
  <si>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</si>
  <si>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</si>
  <si>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</si>
  <si>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</si>
  <si>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</si>
  <si>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</si>
  <si>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</si>
  <si>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</si>
  <si>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</si>
  <si>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</si>
  <si>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</si>
  <si>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</si>
  <si>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</si>
  <si>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</si>
  <si>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</si>
  <si>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</si>
  <si>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</si>
  <si>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</si>
  <si>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</si>
  <si>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</si>
  <si>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</si>
  <si>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</si>
  <si>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</si>
  <si>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</si>
  <si>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</si>
  <si>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</si>
  <si>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O=C(/C=C/C1=CC=CC=C1)OCC&gt;&gt;O=C([C@H]2[C@@H](O2)C3=CC=CC=C3)OCC</t>
  </si>
  <si>
    <t>73</t>
  </si>
  <si>
    <t>ee cla</t>
  </si>
  <si>
    <t>ee cla_</t>
  </si>
  <si>
    <t>ee claA</t>
  </si>
  <si>
    <t>epox_cla</t>
  </si>
  <si>
    <t>ClC1=CC=C(C(/C=C/C2=CC=CC=C2)=O)C=C1&gt;&gt;ClC3=CC=C(C([C@@H]4O[C@H]4C5=CC=CC=C5)=O)C=C3</t>
  </si>
  <si>
    <t>ClC1=C(C=CC=C1)C(/C=C/C2=CC=CC=C2)=O&gt;&gt;ClC3=CC=CC=C3C([C@@H]4O[C@H]4C5=CC=CC=C5)=O</t>
  </si>
  <si>
    <t>O=C(C1=CC=CC=C1)/C=C/C2=CC3=CC=CC=C3O2&gt;&gt;O=C(C4=CC=CC=C4)[C@@H]5O[C@H]5C6=CC7=CC=CC=C7O6</t>
  </si>
  <si>
    <t>CCCC/C=C/C(C1=CC=CC=C1)=O&gt;&gt;CCCC[C@@H]2O[C@H]2C(C3=CC=CC=C3)=O</t>
  </si>
  <si>
    <t>O=C(C1=C(C=CC=C1)CC/2)C2=C\C=C\C3=CC=CC=C3&gt;&gt;O=C(C4=C(C=CC=C4)CC5)[C@@]65[C@H](/C=C/C7=CC=CC=C7)O6</t>
  </si>
  <si>
    <t>FC1=CC=C(C=C1)/C=C/C(C2=CC=C(C=C2)F)=O&gt;&gt;FC3=CC=C([C@@H]4O[C@H]4C(C5=CC=C(C=C5)F)=O)C=C3</t>
  </si>
  <si>
    <t>O=C(C1=CC=C([N+]([O-])=O)C=C1)/C=C/C2=CC=CC=C2&gt;&gt;O=C(C3=CC=C([N+]([O-])=O)C=C3)[C@@H]4O[C@H]4C5=CC=CC=C5</t>
  </si>
  <si>
    <t>SMILES</t>
  </si>
  <si>
    <t>SMILES__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</si>
</sst>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E10"/>
  <sheetViews>
    <sheetView tabSelected="1" topLeftCell="B1" workbookViewId="0">
      <selection activeCell="F2" sqref="F2"/>
    </sheetView>
  </sheetViews>
  <sheetFormatPr defaultRowHeight="14.4" x14ac:dyDescent="0.3"/>
  <cols>
    <col min="6" max="6" width="49.77734375" bestFit="1" customWidth="1"/>
    <col min="7" max="7" width="45.6640625" bestFit="1" customWidth="1"/>
  </cols>
  <sheetData>
    <row r="1" spans="1:31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79</v>
      </c>
      <c r="G1" t="s">
        <v>80</v>
      </c>
      <c r="H1" s="1" t="s">
        <v>46</v>
      </c>
      <c r="I1" s="2" t="s">
        <v>47</v>
      </c>
      <c r="J1" s="3" t="s">
        <v>48</v>
      </c>
      <c r="K1" s="1" t="s">
        <v>49</v>
      </c>
      <c r="L1" t="s">
        <v>50</v>
      </c>
      <c r="M1" t="s">
        <v>51</v>
      </c>
      <c r="N1" s="3" t="s">
        <v>52</v>
      </c>
      <c r="O1" s="1" t="s">
        <v>53</v>
      </c>
      <c r="P1" s="1" t="s">
        <v>71</v>
      </c>
      <c r="Q1" s="1" t="s">
        <v>68</v>
      </c>
      <c r="R1" s="1" t="s">
        <v>70</v>
      </c>
      <c r="S1" s="1" t="s">
        <v>69</v>
      </c>
      <c r="T1" s="1" t="s">
        <v>54</v>
      </c>
      <c r="U1" s="1" t="s">
        <v>55</v>
      </c>
      <c r="V1" t="s">
        <v>56</v>
      </c>
      <c r="W1" s="1" t="s">
        <v>57</v>
      </c>
      <c r="X1" s="1" t="s">
        <v>58</v>
      </c>
      <c r="Y1" t="s">
        <v>59</v>
      </c>
      <c r="Z1" t="s">
        <v>60</v>
      </c>
      <c r="AA1" t="s">
        <v>61</v>
      </c>
      <c r="AB1" t="s">
        <v>62</v>
      </c>
      <c r="AC1" s="1" t="s">
        <v>63</v>
      </c>
      <c r="AD1" t="s">
        <v>64</v>
      </c>
      <c r="AE1" t="s">
        <v>65</v>
      </c>
    </row>
    <row r="2" spans="1:3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_xlfn.TEXTAFTER(H2,"&gt;&gt;")</f>
        <v>ClC3=CC=C(C([C@@H]4O[C@H]4C5=CC=CC=C5)=O)C=C3</v>
      </c>
      <c r="G2" t="str">
        <f>_xlfn.TEXTBEFORE(H2, "&gt;&gt;")</f>
        <v>ClC1=CC=C(C(/C=C/C2=CC=CC=C2)=O)C=C1</v>
      </c>
      <c r="H2" t="s">
        <v>72</v>
      </c>
      <c r="I2" s="2" t="s">
        <v>5</v>
      </c>
      <c r="J2" s="2" t="s">
        <v>6</v>
      </c>
      <c r="K2">
        <v>0</v>
      </c>
      <c r="L2" t="s">
        <v>7</v>
      </c>
      <c r="M2" t="s">
        <v>8</v>
      </c>
      <c r="N2" s="2" t="s">
        <v>9</v>
      </c>
      <c r="O2">
        <v>93</v>
      </c>
      <c r="P2">
        <v>1</v>
      </c>
      <c r="Q2">
        <f>IF(O2&gt;0,1,0)</f>
        <v>1</v>
      </c>
      <c r="R2">
        <v>2</v>
      </c>
      <c r="S2">
        <f>IF(O2&gt;0,1,0)</f>
        <v>1</v>
      </c>
      <c r="T2">
        <v>96.5</v>
      </c>
      <c r="U2">
        <v>3.5</v>
      </c>
      <c r="V2" t="s">
        <v>10</v>
      </c>
      <c r="W2" t="s">
        <v>11</v>
      </c>
      <c r="X2" t="s">
        <v>12</v>
      </c>
      <c r="Y2">
        <v>12</v>
      </c>
      <c r="Z2">
        <v>20</v>
      </c>
      <c r="AA2">
        <v>2.4E-2</v>
      </c>
      <c r="AB2">
        <v>0.2</v>
      </c>
      <c r="AC2" t="s">
        <v>13</v>
      </c>
      <c r="AD2" t="s">
        <v>14</v>
      </c>
      <c r="AE2" t="s">
        <v>15</v>
      </c>
    </row>
    <row r="3" spans="1:3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tr">
        <f t="shared" ref="F3:F10" si="0">_xlfn.TEXTAFTER(H3,"&gt;&gt;")</f>
        <v>O=C2CCC[C@@H]3O[C@H]23</v>
      </c>
      <c r="G3" t="str">
        <f t="shared" ref="G3:G10" si="1">_xlfn.TEXTBEFORE(H3, "&gt;&gt;")</f>
        <v>O=C1CCCC=C1</v>
      </c>
      <c r="H3" t="s">
        <v>21</v>
      </c>
      <c r="I3" s="2" t="s">
        <v>5</v>
      </c>
      <c r="J3" s="2" t="s">
        <v>6</v>
      </c>
      <c r="K3">
        <v>0</v>
      </c>
      <c r="L3" t="s">
        <v>7</v>
      </c>
      <c r="M3" t="s">
        <v>22</v>
      </c>
      <c r="N3" s="2">
        <v>52</v>
      </c>
      <c r="O3">
        <v>44</v>
      </c>
      <c r="P3">
        <v>1</v>
      </c>
      <c r="Q3">
        <f t="shared" ref="Q3:Q10" si="2">IF(O3&gt;0,1,0)</f>
        <v>1</v>
      </c>
      <c r="R3">
        <v>1</v>
      </c>
      <c r="S3">
        <f t="shared" ref="S3:S10" si="3">IF(O3&gt;0,1,0)</f>
        <v>1</v>
      </c>
      <c r="T3">
        <v>72</v>
      </c>
      <c r="U3">
        <v>28</v>
      </c>
      <c r="V3" t="s">
        <v>10</v>
      </c>
      <c r="W3" t="s">
        <v>11</v>
      </c>
      <c r="X3" t="s">
        <v>12</v>
      </c>
      <c r="Y3">
        <v>12</v>
      </c>
      <c r="Z3">
        <v>20</v>
      </c>
      <c r="AA3">
        <v>2.4E-2</v>
      </c>
      <c r="AB3">
        <v>0.2</v>
      </c>
      <c r="AC3" t="s">
        <v>13</v>
      </c>
      <c r="AD3" t="s">
        <v>14</v>
      </c>
      <c r="AE3" t="s">
        <v>15</v>
      </c>
    </row>
    <row r="4" spans="1:31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tr">
        <f t="shared" si="0"/>
        <v>ClC3=CC=CC=C3C([C@@H]4O[C@H]4C5=CC=CC=C5)=O</v>
      </c>
      <c r="G4" t="str">
        <f t="shared" si="1"/>
        <v>ClC1=C(C=CC=C1)C(/C=C/C2=CC=CC=C2)=O</v>
      </c>
      <c r="H4" t="s">
        <v>73</v>
      </c>
      <c r="I4" s="2" t="s">
        <v>5</v>
      </c>
      <c r="J4" s="2" t="s">
        <v>6</v>
      </c>
      <c r="K4">
        <v>0</v>
      </c>
      <c r="L4" t="s">
        <v>7</v>
      </c>
      <c r="M4" t="s">
        <v>28</v>
      </c>
      <c r="N4" s="2">
        <v>59</v>
      </c>
      <c r="O4">
        <v>88</v>
      </c>
      <c r="P4">
        <v>1</v>
      </c>
      <c r="Q4">
        <f t="shared" si="2"/>
        <v>1</v>
      </c>
      <c r="R4">
        <v>2</v>
      </c>
      <c r="S4">
        <f t="shared" si="3"/>
        <v>1</v>
      </c>
      <c r="T4">
        <v>94</v>
      </c>
      <c r="U4">
        <v>6</v>
      </c>
      <c r="V4" t="s">
        <v>10</v>
      </c>
      <c r="W4" t="s">
        <v>11</v>
      </c>
      <c r="X4" t="s">
        <v>12</v>
      </c>
      <c r="Y4">
        <v>12</v>
      </c>
      <c r="Z4">
        <v>20</v>
      </c>
      <c r="AA4">
        <v>2.4E-2</v>
      </c>
      <c r="AB4">
        <v>0.2</v>
      </c>
      <c r="AC4" t="s">
        <v>13</v>
      </c>
      <c r="AD4" t="s">
        <v>14</v>
      </c>
      <c r="AE4" t="s">
        <v>15</v>
      </c>
    </row>
    <row r="5" spans="1:31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tr">
        <f t="shared" si="0"/>
        <v>O=C(C4=CC=CC=C4)[C@@H]5O[C@H]5C6=CC7=CC=CC=C7O6</v>
      </c>
      <c r="G5" t="str">
        <f t="shared" si="1"/>
        <v>O=C(C1=CC=CC=C1)/C=C/C2=CC3=CC=CC=C3O2</v>
      </c>
      <c r="H5" t="s">
        <v>74</v>
      </c>
      <c r="I5" s="2" t="s">
        <v>5</v>
      </c>
      <c r="J5" s="2" t="s">
        <v>6</v>
      </c>
      <c r="K5">
        <v>0</v>
      </c>
      <c r="L5" t="s">
        <v>7</v>
      </c>
      <c r="M5" t="s">
        <v>8</v>
      </c>
      <c r="N5" s="2" t="s">
        <v>34</v>
      </c>
      <c r="O5">
        <v>99</v>
      </c>
      <c r="P5">
        <v>1</v>
      </c>
      <c r="Q5">
        <f t="shared" si="2"/>
        <v>1</v>
      </c>
      <c r="R5">
        <v>2</v>
      </c>
      <c r="S5">
        <f t="shared" si="3"/>
        <v>1</v>
      </c>
      <c r="T5">
        <v>99.5</v>
      </c>
      <c r="U5">
        <v>0.5</v>
      </c>
      <c r="V5" t="s">
        <v>10</v>
      </c>
      <c r="W5" t="s">
        <v>11</v>
      </c>
      <c r="X5" t="s">
        <v>12</v>
      </c>
      <c r="Y5">
        <v>12</v>
      </c>
      <c r="Z5">
        <v>20</v>
      </c>
      <c r="AA5">
        <v>2.4E-2</v>
      </c>
      <c r="AB5">
        <v>0.2</v>
      </c>
      <c r="AC5" t="s">
        <v>13</v>
      </c>
      <c r="AD5" t="s">
        <v>14</v>
      </c>
      <c r="AE5" t="s">
        <v>15</v>
      </c>
    </row>
    <row r="6" spans="1:31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>
        <f t="shared" si="0"/>
        <v>CCCC[C@@H]2O[C@H]2C(C3=CC=CC=C3)=O</v>
      </c>
      <c r="G6" t="str">
        <f t="shared" si="1"/>
        <v>CCCC/C=C/C(C1=CC=CC=C1)=O</v>
      </c>
      <c r="H6" t="s">
        <v>75</v>
      </c>
      <c r="I6" s="2" t="s">
        <v>5</v>
      </c>
      <c r="J6" s="2" t="s">
        <v>6</v>
      </c>
      <c r="K6">
        <v>0</v>
      </c>
      <c r="L6" t="s">
        <v>7</v>
      </c>
      <c r="M6" t="s">
        <v>40</v>
      </c>
      <c r="N6" s="2">
        <v>88</v>
      </c>
      <c r="O6">
        <v>88</v>
      </c>
      <c r="P6">
        <v>1</v>
      </c>
      <c r="Q6">
        <f t="shared" si="2"/>
        <v>1</v>
      </c>
      <c r="R6">
        <v>2</v>
      </c>
      <c r="S6">
        <f t="shared" si="3"/>
        <v>1</v>
      </c>
      <c r="T6">
        <v>94</v>
      </c>
      <c r="U6">
        <v>6</v>
      </c>
      <c r="V6" t="s">
        <v>10</v>
      </c>
      <c r="W6" t="s">
        <v>11</v>
      </c>
      <c r="X6" t="s">
        <v>12</v>
      </c>
      <c r="Y6">
        <v>12</v>
      </c>
      <c r="Z6">
        <v>20</v>
      </c>
      <c r="AA6">
        <v>2.4E-2</v>
      </c>
      <c r="AB6">
        <v>0.2</v>
      </c>
      <c r="AC6" t="s">
        <v>13</v>
      </c>
      <c r="AD6" t="s">
        <v>14</v>
      </c>
      <c r="AE6" t="s">
        <v>15</v>
      </c>
    </row>
    <row r="7" spans="1:31" x14ac:dyDescent="0.3">
      <c r="F7" t="str">
        <f t="shared" si="0"/>
        <v>O=C(C4=C(C=CC=C4)CC5)[C@@]65[C@H](/C=C/C7=CC=CC=C7)O6</v>
      </c>
      <c r="G7" t="str">
        <f t="shared" si="1"/>
        <v>O=C(C1=C(C=CC=C1)CC/2)C2=C\C=C\C3=CC=CC=C3</v>
      </c>
      <c r="H7" s="5" t="s">
        <v>76</v>
      </c>
      <c r="N7">
        <v>0</v>
      </c>
      <c r="O7">
        <v>0</v>
      </c>
      <c r="P7">
        <v>0</v>
      </c>
      <c r="Q7">
        <f t="shared" si="2"/>
        <v>0</v>
      </c>
      <c r="R7">
        <v>0</v>
      </c>
      <c r="S7">
        <f t="shared" si="3"/>
        <v>0</v>
      </c>
    </row>
    <row r="8" spans="1:31" x14ac:dyDescent="0.3">
      <c r="F8" t="str">
        <f t="shared" si="0"/>
        <v>O=C([C@H]2[C@@H](O2)C3=CC=CC=C3)OCC</v>
      </c>
      <c r="G8" t="str">
        <f t="shared" si="1"/>
        <v>O=C(/C=C/C1=CC=CC=C1)OCC</v>
      </c>
      <c r="H8" s="5" t="s">
        <v>66</v>
      </c>
      <c r="N8">
        <v>0</v>
      </c>
      <c r="O8">
        <v>0</v>
      </c>
      <c r="P8">
        <v>0</v>
      </c>
      <c r="Q8">
        <f t="shared" si="2"/>
        <v>0</v>
      </c>
      <c r="R8">
        <v>0</v>
      </c>
      <c r="S8">
        <f t="shared" si="3"/>
        <v>0</v>
      </c>
    </row>
    <row r="9" spans="1:31" x14ac:dyDescent="0.3">
      <c r="E9" s="4"/>
      <c r="F9" t="str">
        <f t="shared" si="0"/>
        <v>O=C(C3=CC=C([N+]([O-])=O)C=C3)[C@@H]4O[C@H]4C5=CC=CC=C5</v>
      </c>
      <c r="G9" t="str">
        <f t="shared" si="1"/>
        <v>O=C(C1=CC=C([N+]([O-])=O)C=C1)/C=C/C2=CC=CC=C2</v>
      </c>
      <c r="H9" t="s">
        <v>78</v>
      </c>
      <c r="I9" s="2"/>
      <c r="M9" s="2"/>
      <c r="N9" s="2">
        <v>56</v>
      </c>
      <c r="O9">
        <v>48</v>
      </c>
      <c r="P9">
        <v>1</v>
      </c>
      <c r="Q9">
        <f t="shared" si="2"/>
        <v>1</v>
      </c>
      <c r="R9">
        <v>1</v>
      </c>
      <c r="S9">
        <f t="shared" si="3"/>
        <v>1</v>
      </c>
      <c r="T9">
        <v>74</v>
      </c>
      <c r="U9">
        <v>26</v>
      </c>
    </row>
    <row r="10" spans="1:31" x14ac:dyDescent="0.3">
      <c r="F10" t="str">
        <f t="shared" si="0"/>
        <v>FC3=CC=C([C@@H]4O[C@H]4C(C5=CC=C(C=C5)F)=O)C=C3</v>
      </c>
      <c r="G10" t="str">
        <f t="shared" si="1"/>
        <v>FC1=CC=C(C=C1)/C=C/C(C2=CC=C(C=C2)F)=O</v>
      </c>
      <c r="H10" t="s">
        <v>77</v>
      </c>
      <c r="N10" s="2" t="s">
        <v>67</v>
      </c>
      <c r="O10">
        <v>91</v>
      </c>
      <c r="P10">
        <v>1</v>
      </c>
      <c r="Q10">
        <f t="shared" si="2"/>
        <v>1</v>
      </c>
      <c r="R10">
        <v>2</v>
      </c>
      <c r="S10">
        <f t="shared" si="3"/>
        <v>1</v>
      </c>
      <c r="T10">
        <v>95.5</v>
      </c>
      <c r="U10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2026-02-14T09:38:51Z</dcterms:modified>
</cp:coreProperties>
</file>