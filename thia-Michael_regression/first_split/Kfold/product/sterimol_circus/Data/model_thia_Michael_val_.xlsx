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ks\Desktop\as_cat_ee\Model_thia_Michael_product\no_chemBERTa\Data\"/>
    </mc:Choice>
  </mc:AlternateContent>
  <xr:revisionPtr revIDLastSave="0" documentId="13_ncr:1_{0ED839E5-C8E9-46CA-9191-F5DF3D4C09E4}" xr6:coauthVersionLast="47" xr6:coauthVersionMax="47" xr10:uidLastSave="{00000000-0000-0000-0000-000000000000}"/>
  <bookViews>
    <workbookView xWindow="1464" yWindow="3528" windowWidth="15960" windowHeight="12120" xr2:uid="{3457D3EB-F650-4A8A-A7FA-5D4A9CA16FFB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2" i="1"/>
  <c r="B3" i="1"/>
  <c r="B4" i="1"/>
  <c r="B5" i="1"/>
  <c r="B2" i="1"/>
</calcChain>
</file>

<file path=xl/sharedStrings.xml><?xml version="1.0" encoding="utf-8"?>
<sst xmlns="http://schemas.openxmlformats.org/spreadsheetml/2006/main" count="65" uniqueCount="44">
  <si>
    <t>https://www.reaxys.com/reaxys/secured/hopinto.do?context=R&amp;query=RX.ID%3D29834758&amp;database=RX&amp;origin=ReaxysOutput&amp;ln=</t>
  </si>
  <si>
    <t>O=C1CCC=C1.SCC2=CC=CC=C2&gt;&gt;O=C3CC[C@@H](SCC4=CC=CC=C4)C3</t>
  </si>
  <si>
    <t>-78 - 25; -78</t>
  </si>
  <si>
    <t>Inert atmosphere; Schlenk technique; Inert atmosphere; Schlenk technique</t>
  </si>
  <si>
    <t>Michael Addition; Michael Addition</t>
  </si>
  <si>
    <t>80 percent ee</t>
  </si>
  <si>
    <t>dibutylmagnesium; (S,S)-prophenol</t>
  </si>
  <si>
    <t>(S,S)-prophenol</t>
  </si>
  <si>
    <t>toluene</t>
  </si>
  <si>
    <t>Article; Jaszczewska-Adamczak, Joanna A.;Baczewska, Paulina;Bujok, Robert;Mlynarski, Jacek; Advanced Synthesis and Catalysis; vol. 366; 6; (2024); p. 1412 - 1421;</t>
  </si>
  <si>
    <t>https://www.reaxys.com/reaxys/secured/hopinto.do?context=R&amp;query=RX.ID%3D66913336&amp;database=RX&amp;origin=ReaxysOutput&amp;ln=</t>
  </si>
  <si>
    <t>CC1=CC=CC=C1CS.O=C(\C=C\C1=CC=CC=C1)C1=CC=CC=C1&gt;&gt;CC1=CC=CC=C1CS[C@@H](CC(=O)C1=CC=CC=C1)C1=CC=CC=C1</t>
  </si>
  <si>
    <t>98 percent ee</t>
  </si>
  <si>
    <t>https://www.reaxys.com/reaxys/secured/hopinto.do?context=R&amp;query=RX.ID%3D66913307&amp;database=RX&amp;origin=ReaxysOutput&amp;ln=</t>
  </si>
  <si>
    <t>-65; -78</t>
  </si>
  <si>
    <t>46 percent ee</t>
  </si>
  <si>
    <t>SCC1(CC1)CC(OC)=O.O=C(/C=C/C2=CC(C3SCCCS3)=CC=C2)C4=CC=CC=C4Br&gt;&gt;O=C(C[C@@H](C5=CC(C6SCCCS6)=CC=C5)SCC7(CC7)CC(OC)=O)C8=CC=CC=C8Br</t>
  </si>
  <si>
    <t>Reaction: Links to Reaxys</t>
  </si>
  <si>
    <t>SMILES</t>
  </si>
  <si>
    <t>SMILES_substrate_1</t>
  </si>
  <si>
    <t>SMILES_substrate_2</t>
  </si>
  <si>
    <t>Reaction</t>
  </si>
  <si>
    <t>Temperature (Reaction Details) [C]</t>
  </si>
  <si>
    <t>Other Conditions</t>
  </si>
  <si>
    <t>Reaction Type</t>
  </si>
  <si>
    <t>Yield (numerical)</t>
  </si>
  <si>
    <t>Yield (optical)</t>
  </si>
  <si>
    <t>ee</t>
  </si>
  <si>
    <t>Reagent</t>
  </si>
  <si>
    <t>Catalyst</t>
  </si>
  <si>
    <t>Solvent (Reaction Details)</t>
  </si>
  <si>
    <t>References</t>
  </si>
  <si>
    <t>SMILES_tiol</t>
  </si>
  <si>
    <t>SCC2=CC=CC=C2</t>
  </si>
  <si>
    <t>CC1=CC=CC=C1CS</t>
  </si>
  <si>
    <t>SCC3=CC=CC=C3</t>
  </si>
  <si>
    <t>SCC1(CC1)CC(OC)=O</t>
  </si>
  <si>
    <t>O=C1CCC=C1</t>
  </si>
  <si>
    <t>O=C(\C=C\C1=CC=CC=C1)C1=CC=CC=C1</t>
  </si>
  <si>
    <t>O=C(C1=CC=CC=C1)C=CC2=CC=CC=C2N(=O)=O</t>
  </si>
  <si>
    <t>O=C(/C=C/C2=CC(C3SCCCS3)=CC=C2)C4=CC=CC=C4Br</t>
  </si>
  <si>
    <t>SMILES_chalkon</t>
  </si>
  <si>
    <t>O=C(/C=C/C1=CC=CC=C1[N+]([O-])=O)C2=CC=CC=C2.SCC3=CC=CC=C3&gt;&gt;O=C(C[C@H](SCC4=CC=CC=C4)C5=CC=CC=C5[N+]([O-])=O)C6=CC=CC=C6</t>
  </si>
  <si>
    <t>SMILES__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</si>
</sst>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sz val="11"/>
      <name val="Arial"/>
      <family val="2"/>
      <charset val="238"/>
    </font>
    <font>
      <sz val="1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2FEDF-0823-425D-AB34-1A6E89EC9F50}">
  <dimension ref="A1:U5"/>
  <sheetViews>
    <sheetView tabSelected="1" workbookViewId="0">
      <selection activeCell="B2" sqref="B2"/>
    </sheetView>
  </sheetViews>
  <sheetFormatPr defaultRowHeight="14.4" x14ac:dyDescent="0.3"/>
  <cols>
    <col min="1" max="1" width="8.88671875" style="3"/>
    <col min="2" max="2" width="77.88671875" style="3" bestFit="1" customWidth="1"/>
    <col min="3" max="4" width="77.88671875" style="3" customWidth="1"/>
    <col min="5" max="5" width="83.109375" style="3" bestFit="1" customWidth="1"/>
    <col min="6" max="16384" width="8.88671875" style="3"/>
  </cols>
  <sheetData>
    <row r="1" spans="1:21" x14ac:dyDescent="0.3">
      <c r="A1" s="3" t="s">
        <v>17</v>
      </c>
      <c r="B1" s="3" t="s">
        <v>43</v>
      </c>
      <c r="C1" s="3" t="s">
        <v>32</v>
      </c>
      <c r="D1" s="3" t="s">
        <v>41</v>
      </c>
      <c r="E1" s="3" t="s">
        <v>18</v>
      </c>
      <c r="F1" s="3" t="s">
        <v>21</v>
      </c>
      <c r="G1" s="3" t="s">
        <v>19</v>
      </c>
      <c r="H1" s="3" t="s">
        <v>20</v>
      </c>
      <c r="I1" s="3" t="s">
        <v>21</v>
      </c>
      <c r="J1" s="3" t="s">
        <v>22</v>
      </c>
      <c r="K1" s="3" t="s">
        <v>23</v>
      </c>
      <c r="L1" s="3" t="s">
        <v>24</v>
      </c>
      <c r="M1" s="3" t="s">
        <v>25</v>
      </c>
      <c r="N1" s="3" t="s">
        <v>26</v>
      </c>
      <c r="O1" s="3">
        <v>9</v>
      </c>
      <c r="P1" s="3">
        <v>10</v>
      </c>
      <c r="Q1" s="3" t="s">
        <v>27</v>
      </c>
      <c r="R1" s="3" t="s">
        <v>28</v>
      </c>
      <c r="S1" s="3" t="s">
        <v>29</v>
      </c>
      <c r="T1" s="3" t="s">
        <v>30</v>
      </c>
      <c r="U1" s="3" t="s">
        <v>31</v>
      </c>
    </row>
    <row r="2" spans="1:21" x14ac:dyDescent="0.3">
      <c r="A2" s="1" t="s">
        <v>0</v>
      </c>
      <c r="B2" s="1" t="str">
        <f>_xlfn.TEXTBEFORE(F2,"&gt;&gt;")</f>
        <v>O=C1CCC=C1.SCC2=CC=CC=C2</v>
      </c>
      <c r="C2" s="1" t="s">
        <v>33</v>
      </c>
      <c r="D2" s="1" t="s">
        <v>37</v>
      </c>
      <c r="E2" s="1" t="str">
        <f>_xlfn.TEXTAFTER(F2,"&gt;&gt;")</f>
        <v>O=C3CC[C@@H](SCC4=CC=CC=C4)C3</v>
      </c>
      <c r="F2" s="1" t="s">
        <v>1</v>
      </c>
      <c r="G2" s="1" t="s">
        <v>2</v>
      </c>
      <c r="H2" s="1" t="s">
        <v>3</v>
      </c>
      <c r="I2" s="1" t="s">
        <v>4</v>
      </c>
      <c r="J2" s="2">
        <v>90</v>
      </c>
      <c r="K2" s="2" t="s">
        <v>5</v>
      </c>
      <c r="L2" s="2">
        <v>80</v>
      </c>
      <c r="M2" s="1" t="s">
        <v>6</v>
      </c>
      <c r="N2" s="1" t="s">
        <v>7</v>
      </c>
      <c r="O2" s="1" t="s">
        <v>8</v>
      </c>
      <c r="P2" s="1" t="s">
        <v>9</v>
      </c>
      <c r="Q2" s="3">
        <v>80</v>
      </c>
    </row>
    <row r="3" spans="1:21" x14ac:dyDescent="0.3">
      <c r="A3" s="1" t="s">
        <v>10</v>
      </c>
      <c r="B3" s="1" t="str">
        <f t="shared" ref="B3:B5" si="0">_xlfn.TEXTBEFORE(F3,"&gt;&gt;")</f>
        <v>CC1=CC=CC=C1CS.O=C(\C=C\C1=CC=CC=C1)C1=CC=CC=C1</v>
      </c>
      <c r="C3" s="1" t="s">
        <v>34</v>
      </c>
      <c r="D3" s="1" t="s">
        <v>38</v>
      </c>
      <c r="E3" s="1" t="str">
        <f t="shared" ref="E3:E5" si="1">_xlfn.TEXTAFTER(F3,"&gt;&gt;")</f>
        <v>CC1=CC=CC=C1CS[C@@H](CC(=O)C1=CC=CC=C1)C1=CC=CC=C1</v>
      </c>
      <c r="F3" s="1" t="s">
        <v>11</v>
      </c>
      <c r="G3" s="1" t="s">
        <v>2</v>
      </c>
      <c r="H3" s="1" t="s">
        <v>3</v>
      </c>
      <c r="I3" s="1" t="s">
        <v>4</v>
      </c>
      <c r="J3" s="2">
        <v>94</v>
      </c>
      <c r="K3" s="2" t="s">
        <v>12</v>
      </c>
      <c r="L3" s="2">
        <v>98</v>
      </c>
      <c r="M3" s="1" t="s">
        <v>6</v>
      </c>
      <c r="N3" s="1" t="s">
        <v>7</v>
      </c>
      <c r="O3" s="1" t="s">
        <v>8</v>
      </c>
      <c r="P3" s="1" t="s">
        <v>9</v>
      </c>
      <c r="Q3" s="3">
        <v>98</v>
      </c>
    </row>
    <row r="4" spans="1:21" x14ac:dyDescent="0.3">
      <c r="A4" s="1" t="s">
        <v>13</v>
      </c>
      <c r="B4" s="1" t="str">
        <f t="shared" si="0"/>
        <v>O=C(/C=C/C1=CC=CC=C1[N+]([O-])=O)C2=CC=CC=C2.SCC3=CC=CC=C3</v>
      </c>
      <c r="C4" s="1" t="s">
        <v>35</v>
      </c>
      <c r="D4" s="1" t="s">
        <v>39</v>
      </c>
      <c r="E4" s="1" t="str">
        <f t="shared" si="1"/>
        <v>O=C(C[C@H](SCC4=CC=CC=C4)C5=CC=CC=C5[N+]([O-])=O)C6=CC=CC=C6</v>
      </c>
      <c r="F4" s="1" t="s">
        <v>42</v>
      </c>
      <c r="G4" s="1" t="s">
        <v>14</v>
      </c>
      <c r="H4" s="1" t="s">
        <v>3</v>
      </c>
      <c r="I4" s="1" t="s">
        <v>4</v>
      </c>
      <c r="J4" s="2">
        <v>88</v>
      </c>
      <c r="K4" s="2" t="s">
        <v>15</v>
      </c>
      <c r="L4" s="2">
        <v>46</v>
      </c>
      <c r="M4" s="1" t="s">
        <v>6</v>
      </c>
      <c r="N4" s="1" t="s">
        <v>7</v>
      </c>
      <c r="O4" s="1" t="s">
        <v>8</v>
      </c>
      <c r="P4" s="1" t="s">
        <v>9</v>
      </c>
      <c r="Q4" s="3">
        <v>46</v>
      </c>
    </row>
    <row r="5" spans="1:21" x14ac:dyDescent="0.3">
      <c r="B5" s="1" t="str">
        <f t="shared" si="0"/>
        <v>SCC1(CC1)CC(OC)=O.O=C(/C=C/C2=CC(C3SCCCS3)=CC=C2)C4=CC=CC=C4Br</v>
      </c>
      <c r="C5" s="1" t="s">
        <v>36</v>
      </c>
      <c r="D5" s="1" t="s">
        <v>40</v>
      </c>
      <c r="E5" s="1" t="str">
        <f t="shared" si="1"/>
        <v>O=C(C[C@@H](C5=CC(C6SCCCS6)=CC=C5)SCC7(CC7)CC(OC)=O)C8=CC=CC=C8Br</v>
      </c>
      <c r="F5" s="3" t="s">
        <v>16</v>
      </c>
      <c r="G5" s="1" t="s">
        <v>2</v>
      </c>
      <c r="H5" s="1" t="s">
        <v>3</v>
      </c>
      <c r="I5" s="1" t="s">
        <v>4</v>
      </c>
      <c r="J5" s="2">
        <v>96</v>
      </c>
      <c r="K5" s="2">
        <v>22</v>
      </c>
      <c r="L5" s="2">
        <v>22</v>
      </c>
      <c r="M5" s="1" t="s">
        <v>6</v>
      </c>
      <c r="N5" s="1" t="s">
        <v>7</v>
      </c>
      <c r="O5" s="1" t="s">
        <v>8</v>
      </c>
      <c r="P5" s="1" t="s">
        <v>9</v>
      </c>
      <c r="Q5" s="3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Baczewska Paulina</dc:creator>
  <cp:lastModifiedBy>Damian Nowak</cp:lastModifiedBy>
  <dcterms:created xsi:type="dcterms:W3CDTF">2024-10-14T14:21:43Z</dcterms:created>
  <dcterms:modified xsi:type="dcterms:W3CDTF">2026-02-12T13:59:20Z</dcterms:modified>
</cp:coreProperties>
</file>