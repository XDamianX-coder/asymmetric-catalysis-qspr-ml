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ks\Desktop\as_cat_ee\thia_Michael_new_data\Substrate\all_stratified\Data\"/>
    </mc:Choice>
  </mc:AlternateContent>
  <xr:revisionPtr revIDLastSave="0" documentId="13_ncr:1_{7C5EACBC-EEFA-4836-824E-C788ACB3368F}" xr6:coauthVersionLast="47" xr6:coauthVersionMax="47" xr10:uidLastSave="{00000000-0000-0000-0000-000000000000}"/>
  <bookViews>
    <workbookView xWindow="696" yWindow="3492" windowWidth="23040" windowHeight="12120" xr2:uid="{93107990-1EFC-48BB-9A31-809087E7080D}"/>
  </bookViews>
  <sheets>
    <sheet name="Sheet1" sheetId="1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2" i="1"/>
</calcChain>
</file>

<file path=xl/sharedStrings.xml><?xml version="1.0" encoding="utf-8"?>
<sst xmlns="http://schemas.openxmlformats.org/spreadsheetml/2006/main" count="95" uniqueCount="43">
  <si>
    <t>l.p</t>
  </si>
  <si>
    <t>smiles_produkt</t>
  </si>
  <si>
    <t>experiment_ee</t>
  </si>
  <si>
    <t>smiles_chalkon</t>
  </si>
  <si>
    <t>smiles_tiol</t>
  </si>
  <si>
    <t>O=C1CC[C@@H](SCC2=CC=CC=C2)C1</t>
  </si>
  <si>
    <t>O=C(C1=CC=CC=C1)C[C@H](SCC2=C(C)C=CC=C2)C3=CC=CC=C3</t>
  </si>
  <si>
    <t>O=C(C[C@H](SCC1=CC=CC=C1)C2=C([N+]([O-])=O)C=CC=C2)C3=CC=CC=C3</t>
  </si>
  <si>
    <t>O=C(C1=CC=CC=C1Br)C[C@H](SCC2(CC2)CC(OC)=O)C3=CC=CC(C4SCCCS4)=C3</t>
  </si>
  <si>
    <t>O=C(C1=CC=CC=C1)C[C@H](SC(C)(C)C)C2=CC=CC=C2C(F)(F)F</t>
  </si>
  <si>
    <t>O=C(C1=CC=CC=C1)C[C@H](SCC(OC)=O)C2=CC=CC=C2C(F)(F)F</t>
  </si>
  <si>
    <t>O=C(C1=CC=CC=C1)C[C@H](SCC2=CC=C(C(C)(C)C)C=C2)C3=CC=CC=C3[N+]([O-])=O</t>
  </si>
  <si>
    <t>O=C(C1=CC=CC=C1)C[C@H](SCC(OC)=O)C2=CC=CC=C2[N+]([O-])=O</t>
  </si>
  <si>
    <t>O=C(C1=CC=CC=C1)C[C@H](SCC2=CC=CC=C2)C3=CC=CC([N+]([O-])=O)=C3</t>
  </si>
  <si>
    <t>O=C(C1=CC=CC=C1)C[C@H](SCC2=CC=C(C(C)(C)C)C=C2)C3=CC=CC([N+]([O-])=O)=C3</t>
  </si>
  <si>
    <t>O=C(C1=CC=CC=C1)C[C@H](SC(C)(C)C)C2=CC=C(OC3=CC=CC=C3)C=C2</t>
  </si>
  <si>
    <t>O=C(C1=CC=CC=C1)C[C@H](SCC2=CC=C(C(C)(C)C)C=C2)C3=CC=C(OC4=CC=CC=C4)C=C3</t>
  </si>
  <si>
    <t>O=C(C1=CC=CC=C1)C[C@H](SCC2=CC=CC=C2)C3=CC=C(OC4=CC=CC=C4)C=C3</t>
  </si>
  <si>
    <t>O=C(C1=CC=CC=C1)C[C@H](SCC2=CC=C(C(C)(C)C)C=C2)C3=CC=CC(OC)=C3</t>
  </si>
  <si>
    <t>O=C(C1=CC=CC=C1)C[C@H](SCC2=CC=CC=C2)C3=CC=CC(OC)=C3</t>
  </si>
  <si>
    <t>O=C(C1=CC=CC=C1)C[C@H](SCC2=CC=C(C(C)(C)C)C=C2)C3=CC=CN3</t>
  </si>
  <si>
    <t>O=C(C1=CC=CC=C1)C[C@H](SCC2=CC=CC=C2)C3=CC=CN3</t>
  </si>
  <si>
    <t>O=C(C1=CC=CC=C1)C[C@H](SC(C)(C)C)C2=CC=CN2</t>
  </si>
  <si>
    <t>O=C1CCC=C1</t>
  </si>
  <si>
    <t>SCC1=CC=CC=C1</t>
  </si>
  <si>
    <t>O=C(C1=CC=CC=C1)/C=C/C2=CC=CC=C2</t>
  </si>
  <si>
    <t>SCC1=C(C)C=CC=C1</t>
  </si>
  <si>
    <t>O=C(/C=C/C1=C([N+]([O-])=O)C=CC=C1)C2=CC=CC=C2</t>
  </si>
  <si>
    <t>O=C(C1=CC=CC=C1Br)/C=C/C2=CC=CC(C3SCCCS3)=C2</t>
  </si>
  <si>
    <t>SCC1(CC1)CC(OC)=O</t>
  </si>
  <si>
    <t>O=C(C1=CC=CC=C1)/C=C/C2=CC=CC=C2C(F)(F)F</t>
  </si>
  <si>
    <t>SC(C)(C)C</t>
  </si>
  <si>
    <t>SCC(OC)=O</t>
  </si>
  <si>
    <t>SCC1=CC=C(C(C)(C)C)C=C1</t>
  </si>
  <si>
    <t>O=C(C1=CC=CC=C1)/C=C/C2=CC=CC([N+]([O-])=O)=C2</t>
  </si>
  <si>
    <t>O=C(C1=CC=CC=C1)/C=C/C2=CC=C(OC3=CC=CC=C3)C=C2</t>
  </si>
  <si>
    <t>O=C(C1=CC=CC=C1)/C=C/C2=CC=CC(OC)=C2</t>
  </si>
  <si>
    <t>O=C(C1=CC=CC=C1)/C=C/C2=CC=CN2</t>
  </si>
  <si>
    <t>O=C(C1=CC=CC=C1)/C=C/C2=CC=CC=C2[N+]([O-])=O</t>
  </si>
  <si>
    <t>ee</t>
  </si>
  <si>
    <t>SMILES_chalkon</t>
  </si>
  <si>
    <t>SMILES_tiol</t>
  </si>
  <si>
    <t>SMILES_produkt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</si>
</sst>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71C9D-61D7-4A5B-8567-36328CE5A4BB}">
  <dimension ref="A1:F11"/>
  <sheetViews>
    <sheetView tabSelected="1" workbookViewId="0">
      <selection activeCell="D1" sqref="D1"/>
    </sheetView>
  </sheetViews>
  <sheetFormatPr defaultRowHeight="14.4" x14ac:dyDescent="0.3"/>
  <cols>
    <col min="2" max="2" width="51" bestFit="1" customWidth="1"/>
    <col min="3" max="3" width="24.109375" bestFit="1" customWidth="1"/>
    <col min="4" max="4" width="77.33203125" bestFit="1" customWidth="1"/>
  </cols>
  <sheetData>
    <row r="1" spans="1:6" x14ac:dyDescent="0.3">
      <c r="A1" t="s">
        <v>0</v>
      </c>
      <c r="B1" t="s">
        <v>40</v>
      </c>
      <c r="C1" t="s">
        <v>41</v>
      </c>
      <c r="D1" t="s">
        <v>42</v>
      </c>
      <c r="E1" t="s">
        <v>2</v>
      </c>
      <c r="F1" t="s">
        <v>39</v>
      </c>
    </row>
    <row r="2" spans="1:6" x14ac:dyDescent="0.3">
      <c r="A2">
        <v>26</v>
      </c>
      <c r="B2" t="s">
        <v>30</v>
      </c>
      <c r="C2" t="s">
        <v>31</v>
      </c>
      <c r="D2" t="s">
        <v>9</v>
      </c>
      <c r="E2">
        <v>66</v>
      </c>
      <c r="F2">
        <f>E2</f>
        <v>66</v>
      </c>
    </row>
    <row r="3" spans="1:6" x14ac:dyDescent="0.3">
      <c r="A3">
        <v>28</v>
      </c>
      <c r="B3" t="s">
        <v>38</v>
      </c>
      <c r="C3" t="s">
        <v>33</v>
      </c>
      <c r="D3" t="s">
        <v>11</v>
      </c>
      <c r="E3">
        <v>73</v>
      </c>
      <c r="F3">
        <f t="shared" ref="F3:F11" si="0">E3</f>
        <v>73</v>
      </c>
    </row>
    <row r="4" spans="1:6" x14ac:dyDescent="0.3">
      <c r="A4">
        <v>30</v>
      </c>
      <c r="B4" t="s">
        <v>38</v>
      </c>
      <c r="C4" t="s">
        <v>24</v>
      </c>
      <c r="D4" t="s">
        <v>13</v>
      </c>
      <c r="E4">
        <v>27</v>
      </c>
      <c r="F4">
        <f t="shared" si="0"/>
        <v>27</v>
      </c>
    </row>
    <row r="5" spans="1:6" s="1" customFormat="1" x14ac:dyDescent="0.3">
      <c r="A5" s="1">
        <v>31</v>
      </c>
      <c r="B5" s="1" t="s">
        <v>34</v>
      </c>
      <c r="C5" s="1" t="s">
        <v>33</v>
      </c>
      <c r="D5" s="1" t="s">
        <v>14</v>
      </c>
      <c r="E5" s="1">
        <v>56</v>
      </c>
      <c r="F5" s="1">
        <f t="shared" si="0"/>
        <v>56</v>
      </c>
    </row>
    <row r="6" spans="1:6" ht="15.6" customHeight="1" x14ac:dyDescent="0.3">
      <c r="A6">
        <v>32</v>
      </c>
      <c r="B6" t="s">
        <v>35</v>
      </c>
      <c r="C6" t="s">
        <v>31</v>
      </c>
      <c r="D6" t="s">
        <v>15</v>
      </c>
      <c r="E6">
        <v>92</v>
      </c>
      <c r="F6">
        <f t="shared" si="0"/>
        <v>92</v>
      </c>
    </row>
    <row r="7" spans="1:6" x14ac:dyDescent="0.3">
      <c r="A7">
        <v>34</v>
      </c>
      <c r="B7" t="s">
        <v>35</v>
      </c>
      <c r="C7" t="s">
        <v>24</v>
      </c>
      <c r="D7" t="s">
        <v>17</v>
      </c>
      <c r="E7">
        <v>79.5</v>
      </c>
      <c r="F7">
        <f t="shared" si="0"/>
        <v>79.5</v>
      </c>
    </row>
    <row r="8" spans="1:6" x14ac:dyDescent="0.3">
      <c r="A8">
        <v>35</v>
      </c>
      <c r="B8" t="s">
        <v>36</v>
      </c>
      <c r="C8" t="s">
        <v>33</v>
      </c>
      <c r="D8" t="s">
        <v>18</v>
      </c>
      <c r="E8">
        <v>47</v>
      </c>
      <c r="F8">
        <f t="shared" si="0"/>
        <v>47</v>
      </c>
    </row>
    <row r="9" spans="1:6" x14ac:dyDescent="0.3">
      <c r="A9">
        <v>36</v>
      </c>
      <c r="B9" t="s">
        <v>36</v>
      </c>
      <c r="C9" t="s">
        <v>24</v>
      </c>
      <c r="D9" t="s">
        <v>19</v>
      </c>
      <c r="E9">
        <v>88</v>
      </c>
      <c r="F9">
        <f t="shared" si="0"/>
        <v>88</v>
      </c>
    </row>
    <row r="10" spans="1:6" x14ac:dyDescent="0.3">
      <c r="A10">
        <v>37</v>
      </c>
      <c r="B10" t="s">
        <v>37</v>
      </c>
      <c r="C10" t="s">
        <v>33</v>
      </c>
      <c r="D10" t="s">
        <v>20</v>
      </c>
      <c r="E10">
        <v>65</v>
      </c>
      <c r="F10">
        <f t="shared" si="0"/>
        <v>65</v>
      </c>
    </row>
    <row r="11" spans="1:6" x14ac:dyDescent="0.3">
      <c r="A11">
        <v>38</v>
      </c>
      <c r="B11" t="s">
        <v>37</v>
      </c>
      <c r="C11" t="s">
        <v>24</v>
      </c>
      <c r="D11" t="s">
        <v>21</v>
      </c>
      <c r="E11">
        <v>43.5</v>
      </c>
      <c r="F11">
        <f t="shared" si="0"/>
        <v>43.5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5332C-A6D3-492B-B065-D72AFEC5C9DD}">
  <dimension ref="A1:E19"/>
  <sheetViews>
    <sheetView workbookViewId="0">
      <selection activeCell="B2" sqref="B2"/>
    </sheetView>
  </sheetViews>
  <sheetFormatPr defaultRowHeight="14.4" x14ac:dyDescent="0.3"/>
  <cols>
    <col min="2" max="2" width="46.44140625" customWidth="1"/>
    <col min="3" max="3" width="19.77734375" customWidth="1"/>
  </cols>
  <sheetData>
    <row r="1" spans="1:5" x14ac:dyDescent="0.3">
      <c r="A1" t="s">
        <v>0</v>
      </c>
      <c r="B1" t="s">
        <v>3</v>
      </c>
      <c r="C1" t="s">
        <v>4</v>
      </c>
      <c r="D1" t="s">
        <v>1</v>
      </c>
      <c r="E1" t="s">
        <v>2</v>
      </c>
    </row>
    <row r="2" spans="1:5" x14ac:dyDescent="0.3">
      <c r="A2">
        <v>22</v>
      </c>
      <c r="B2" t="s">
        <v>23</v>
      </c>
      <c r="C2" t="s">
        <v>24</v>
      </c>
      <c r="D2" t="s">
        <v>5</v>
      </c>
      <c r="E2">
        <v>80</v>
      </c>
    </row>
    <row r="3" spans="1:5" x14ac:dyDescent="0.3">
      <c r="A3">
        <v>23</v>
      </c>
      <c r="B3" t="s">
        <v>25</v>
      </c>
      <c r="C3" t="s">
        <v>26</v>
      </c>
      <c r="D3" t="s">
        <v>6</v>
      </c>
      <c r="E3">
        <v>98</v>
      </c>
    </row>
    <row r="4" spans="1:5" x14ac:dyDescent="0.3">
      <c r="A4">
        <v>24</v>
      </c>
      <c r="B4" t="s">
        <v>27</v>
      </c>
      <c r="C4" t="s">
        <v>24</v>
      </c>
      <c r="D4" t="s">
        <v>7</v>
      </c>
      <c r="E4">
        <v>46</v>
      </c>
    </row>
    <row r="5" spans="1:5" x14ac:dyDescent="0.3">
      <c r="A5">
        <v>25</v>
      </c>
      <c r="B5" t="s">
        <v>28</v>
      </c>
      <c r="C5" t="s">
        <v>29</v>
      </c>
      <c r="D5" t="s">
        <v>8</v>
      </c>
      <c r="E5">
        <v>22</v>
      </c>
    </row>
    <row r="6" spans="1:5" x14ac:dyDescent="0.3">
      <c r="A6">
        <v>26</v>
      </c>
      <c r="B6" t="s">
        <v>30</v>
      </c>
      <c r="C6" t="s">
        <v>31</v>
      </c>
      <c r="D6" t="s">
        <v>9</v>
      </c>
      <c r="E6">
        <v>66</v>
      </c>
    </row>
    <row r="7" spans="1:5" x14ac:dyDescent="0.3">
      <c r="A7">
        <v>27</v>
      </c>
      <c r="B7" t="s">
        <v>30</v>
      </c>
      <c r="C7" t="s">
        <v>32</v>
      </c>
      <c r="D7" t="s">
        <v>10</v>
      </c>
      <c r="E7">
        <v>1.5</v>
      </c>
    </row>
    <row r="8" spans="1:5" x14ac:dyDescent="0.3">
      <c r="A8">
        <v>28</v>
      </c>
      <c r="B8" t="s">
        <v>38</v>
      </c>
      <c r="C8" t="s">
        <v>33</v>
      </c>
      <c r="D8" t="s">
        <v>11</v>
      </c>
      <c r="E8">
        <v>73</v>
      </c>
    </row>
    <row r="9" spans="1:5" x14ac:dyDescent="0.3">
      <c r="A9">
        <v>29</v>
      </c>
      <c r="B9" t="s">
        <v>38</v>
      </c>
      <c r="C9" t="s">
        <v>32</v>
      </c>
      <c r="D9" t="s">
        <v>12</v>
      </c>
      <c r="E9">
        <v>10</v>
      </c>
    </row>
    <row r="10" spans="1:5" x14ac:dyDescent="0.3">
      <c r="A10">
        <v>30</v>
      </c>
      <c r="B10" t="s">
        <v>38</v>
      </c>
      <c r="C10" t="s">
        <v>24</v>
      </c>
      <c r="D10" t="s">
        <v>13</v>
      </c>
      <c r="E10">
        <v>27</v>
      </c>
    </row>
    <row r="11" spans="1:5" x14ac:dyDescent="0.3">
      <c r="A11">
        <v>31</v>
      </c>
      <c r="B11" t="s">
        <v>34</v>
      </c>
      <c r="C11" t="s">
        <v>33</v>
      </c>
      <c r="D11" t="s">
        <v>14</v>
      </c>
      <c r="E11">
        <v>56</v>
      </c>
    </row>
    <row r="12" spans="1:5" x14ac:dyDescent="0.3">
      <c r="A12">
        <v>32</v>
      </c>
      <c r="B12" t="s">
        <v>35</v>
      </c>
      <c r="C12" t="s">
        <v>31</v>
      </c>
      <c r="D12" t="s">
        <v>15</v>
      </c>
      <c r="E12">
        <v>92</v>
      </c>
    </row>
    <row r="13" spans="1:5" x14ac:dyDescent="0.3">
      <c r="A13">
        <v>33</v>
      </c>
      <c r="B13" t="s">
        <v>35</v>
      </c>
      <c r="C13" t="s">
        <v>33</v>
      </c>
      <c r="D13" t="s">
        <v>16</v>
      </c>
      <c r="E13">
        <v>72.5</v>
      </c>
    </row>
    <row r="14" spans="1:5" x14ac:dyDescent="0.3">
      <c r="A14">
        <v>34</v>
      </c>
      <c r="B14" t="s">
        <v>35</v>
      </c>
      <c r="C14" t="s">
        <v>24</v>
      </c>
      <c r="D14" t="s">
        <v>17</v>
      </c>
      <c r="E14">
        <v>79.5</v>
      </c>
    </row>
    <row r="15" spans="1:5" x14ac:dyDescent="0.3">
      <c r="A15">
        <v>35</v>
      </c>
      <c r="B15" t="s">
        <v>36</v>
      </c>
      <c r="C15" t="s">
        <v>33</v>
      </c>
      <c r="D15" t="s">
        <v>18</v>
      </c>
      <c r="E15">
        <v>47</v>
      </c>
    </row>
    <row r="16" spans="1:5" x14ac:dyDescent="0.3">
      <c r="A16">
        <v>36</v>
      </c>
      <c r="B16" t="s">
        <v>36</v>
      </c>
      <c r="C16" t="s">
        <v>24</v>
      </c>
      <c r="D16" t="s">
        <v>19</v>
      </c>
      <c r="E16">
        <v>88</v>
      </c>
    </row>
    <row r="17" spans="1:5" x14ac:dyDescent="0.3">
      <c r="A17">
        <v>37</v>
      </c>
      <c r="B17" t="s">
        <v>37</v>
      </c>
      <c r="C17" t="s">
        <v>33</v>
      </c>
      <c r="D17" t="s">
        <v>20</v>
      </c>
      <c r="E17">
        <v>65</v>
      </c>
    </row>
    <row r="18" spans="1:5" x14ac:dyDescent="0.3">
      <c r="A18">
        <v>38</v>
      </c>
      <c r="B18" t="s">
        <v>37</v>
      </c>
      <c r="C18" t="s">
        <v>24</v>
      </c>
      <c r="D18" t="s">
        <v>21</v>
      </c>
      <c r="E18">
        <v>43.5</v>
      </c>
    </row>
    <row r="19" spans="1:5" x14ac:dyDescent="0.3">
      <c r="A19">
        <v>39</v>
      </c>
      <c r="B19" t="s">
        <v>37</v>
      </c>
      <c r="C19" t="s">
        <v>31</v>
      </c>
      <c r="D19" t="s">
        <v>22</v>
      </c>
      <c r="E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Baczewska Paulina</dc:creator>
  <cp:lastModifiedBy>Damian Nowak</cp:lastModifiedBy>
  <dcterms:created xsi:type="dcterms:W3CDTF">2026-01-12T14:14:37Z</dcterms:created>
  <dcterms:modified xsi:type="dcterms:W3CDTF">2026-02-23T14:45:13Z</dcterms:modified>
</cp:coreProperties>
</file>