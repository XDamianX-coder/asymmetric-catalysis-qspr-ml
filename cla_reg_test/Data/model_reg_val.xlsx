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epox_cla_reg\Data\"/>
    </mc:Choice>
  </mc:AlternateContent>
  <xr:revisionPtr revIDLastSave="0" documentId="13_ncr:1_{772F721F-C71E-4772-A0E0-2ABFB28287F4}" xr6:coauthVersionLast="47" xr6:coauthVersionMax="47" xr10:uidLastSave="{00000000-0000-0000-0000-000000000000}"/>
  <bookViews>
    <workbookView xWindow="-108" yWindow="-108" windowWidth="30936" windowHeight="16776" xr2:uid="{52B32DDE-ED38-44A4-8C59-F28ED3288A2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2" i="1"/>
  <c r="F3" i="1"/>
  <c r="F4" i="1"/>
  <c r="F5" i="1"/>
  <c r="F6" i="1"/>
  <c r="F2" i="1"/>
  <c r="G2" i="1"/>
  <c r="G3" i="1"/>
  <c r="G4" i="1"/>
  <c r="G5" i="1"/>
  <c r="G6" i="1"/>
</calcChain>
</file>

<file path=xl/sharedStrings.xml><?xml version="1.0" encoding="utf-8"?>
<sst xmlns="http://schemas.openxmlformats.org/spreadsheetml/2006/main" count="110" uniqueCount="73">
  <si>
    <t>28833233</t>
  </si>
  <si>
    <t>https://www.reaxys.com/reaxys/secured/hopinto.do?context=R&amp;query=RX.ID%3D28833233&amp;database=RX&amp;origin=ReaxysOutput&amp;ln=</t>
  </si>
  <si>
    <t>4'-chlorochalcone</t>
  </si>
  <si>
    <t>trans-(2R,3S)-2,3-epoxy-3-phenyl-1-(4-chlorophenyl)propan-1-one</t>
  </si>
  <si>
    <t>122716</t>
  </si>
  <si>
    <t>1</t>
  </si>
  <si>
    <t>72</t>
  </si>
  <si>
    <t>Inert atmosphere</t>
  </si>
  <si>
    <t>enantioselective reaction</t>
  </si>
  <si>
    <t>96</t>
  </si>
  <si>
    <t>tert.-butylhydroperoxide; (R,R)-(-)-2,6-bis[2-(hydroxyldiphenylmethyl)-1-pyrrolidinyl-methyl]-4-methylphenole; dibutylmagnesium; oxygen</t>
  </si>
  <si>
    <t>OC(C1=CC=CC=C1)(C2=CC=CC=C2)[C@@H](CCC3)N3CC4=CC(C)=CC(CN(CCC5)[C@H]5C(C6=CC=CC=C6)(O)C7=CC=CC=C7)=C4O</t>
  </si>
  <si>
    <t>CC(C)(OO)C.OC(C1=CC=CC=C1)(C2=CC=CC=C2)[C@@H](CCC3)N3CC4=CC(C)=CC(CN(CCC5)[C@H]5C(C6=CC=CC=C6)(O)C7=CC=CC=C7)=C4O.CCCC[Mg]CCCC.O=O</t>
  </si>
  <si>
    <t>tetrahydrofuran; toluene</t>
  </si>
  <si>
    <t>Article; Jaszczewska-Adamczak, Joanna A.; Mlynarski, Jacek; Advanced Synthesis and Catalysis; vol. 363; 17; (2021); p. 4247 - 4255;</t>
  </si>
  <si>
    <t>https://www.reaxys.com/reaxys/secured/hopinto.do?context=C&amp;query=CNR.CNR%3D94365295&amp;database=RX&amp;origin=ReaxysOutput&amp;ln=</t>
  </si>
  <si>
    <t>1731941</t>
  </si>
  <si>
    <t>https://www.reaxys.com/reaxys/secured/hopinto.do?context=R&amp;query=RX.ID%3D1731941&amp;database=RX&amp;origin=ReaxysOutput&amp;ln=</t>
  </si>
  <si>
    <t>cyclohexenone</t>
  </si>
  <si>
    <t>(1S,6S)-7-oxabicyclo[4.1.0]heptan-2-one; (1R,6R)-7-oxabicyclo[4.1.0]heptan-2-one</t>
  </si>
  <si>
    <t>123122; 123122</t>
  </si>
  <si>
    <t>O=C1CCCC=C1&gt;&gt;O=C2CCC[C@@H]3O[C@H]23</t>
  </si>
  <si>
    <t>Overall yield = 52 percent; Overall yield = 95.0 mg</t>
  </si>
  <si>
    <t>29530828</t>
  </si>
  <si>
    <t>https://www.reaxys.com/reaxys/secured/hopinto.do?context=R&amp;query=RX.ID%3D29530828&amp;database=RX&amp;origin=ReaxysOutput&amp;ln=</t>
  </si>
  <si>
    <t>1-(2-chloro-phenyl)-3-phenyl-2-propen-1-one</t>
  </si>
  <si>
    <t>(2S,3R)-2,3-epoxy-1-(2-chlorophenyl)-3-phenylpropan-1-one; trans-(2R,3S)-epoxy-3-phenyl-1-(2-chlorophenyl)propan-1-one</t>
  </si>
  <si>
    <t/>
  </si>
  <si>
    <t>Overall yield = 59 percent; Overall yield = 61.1 mg; enantioselective reaction</t>
  </si>
  <si>
    <t>57910464</t>
  </si>
  <si>
    <t>https://www.reaxys.com/reaxys/secured/hopinto.do?context=R&amp;query=RX.ID%3D57910464&amp;database=RX&amp;origin=ReaxysOutput&amp;ln=</t>
  </si>
  <si>
    <t>3-(benzofuran-2-yl)-1-phenylprop-2-en-1-one</t>
  </si>
  <si>
    <t>[(2R,3R)-3-(benzofuran-2-yl)-2-oxiranyl](phenyl)methanone</t>
  </si>
  <si>
    <t>123115</t>
  </si>
  <si>
    <t>83</t>
  </si>
  <si>
    <t>57910474</t>
  </si>
  <si>
    <t>https://www.reaxys.com/reaxys/secured/hopinto.do?context=R&amp;query=RX.ID%3D57910474&amp;database=RX&amp;origin=ReaxysOutput&amp;ln=</t>
  </si>
  <si>
    <t>1-phenyl-2-hepten-1-one</t>
  </si>
  <si>
    <t>[(2R,3S)-3-butyl-2-oxiranyl](phenyl)methanone; [(2S,3R)-3-butyl-2-oxiranyl](phenyl)methanone</t>
  </si>
  <si>
    <t>123121; 123121</t>
  </si>
  <si>
    <t>Overall yield = 88 percent; Overall yield = 72.1 mg; enantioselective reaction</t>
  </si>
  <si>
    <t>Reaction ID</t>
  </si>
  <si>
    <t>Reaction: Links to Reaxys</t>
  </si>
  <si>
    <t>Reactant</t>
  </si>
  <si>
    <t>Product</t>
  </si>
  <si>
    <t>Bin</t>
  </si>
  <si>
    <t>Reaction</t>
  </si>
  <si>
    <t>Number of Reaction Steps</t>
  </si>
  <si>
    <t>Time (Reaction Details) [h]</t>
  </si>
  <si>
    <t>Temperature (Reaction Details) [C]</t>
  </si>
  <si>
    <t>Other Conditions</t>
  </si>
  <si>
    <t>Comment (Reaction Details)</t>
  </si>
  <si>
    <t>Yield (numerical)</t>
  </si>
  <si>
    <t>ee</t>
  </si>
  <si>
    <t>e1</t>
  </si>
  <si>
    <t>e2</t>
  </si>
  <si>
    <t>Reagent</t>
  </si>
  <si>
    <t>SMILES ligand</t>
  </si>
  <si>
    <t>SMILES mieszanina reakcyjna</t>
  </si>
  <si>
    <t>% mol liganda</t>
  </si>
  <si>
    <t>% mol magnezu</t>
  </si>
  <si>
    <t>stężenie katalizatora [mol/dm3]</t>
  </si>
  <si>
    <t>stężenie substratu M</t>
  </si>
  <si>
    <t>Solvent (Reaction Details)</t>
  </si>
  <si>
    <t>References</t>
  </si>
  <si>
    <t>Links to Reaxys</t>
  </si>
  <si>
    <t>SMILES_product</t>
  </si>
  <si>
    <t>ClC1=CC=C(C(/C=C/C2=CC=CC=C2)=O)C=C1&gt;&gt;ClC3=CC=C(C([C@@H]4O[C@H]4C5=CC=CC=C5)=O)C=C3</t>
  </si>
  <si>
    <t>ClC1=C(C=CC=C1)C(/C=C/C2=CC=CC=C2)=O&gt;&gt;ClC3=CC=CC=C3C([C@@H]4O[C@H]4C5=CC=CC=C5)=O</t>
  </si>
  <si>
    <t>O=C(C1=CC=CC=C1)/C=C/C2=CC3=CC=CC=C3O2&gt;&gt;O=C(C4=CC=CC=C4)[C@@H]5O[C@H]5C6=CC7=CC=CC=C7O6</t>
  </si>
  <si>
    <t>CCCC/C=C/C(C1=CC=CC=C1)=O&gt;&gt;CCCC[C@@H]2O[C@H]2C(C3=CC=CC=C3)=O</t>
  </si>
  <si>
    <t>SMILES_substrate</t>
  </si>
  <si>
    <t>epox_cla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</si>
</sst>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6BE-9B3E-440D-AB67-16EBF8EA7CA4}">
  <dimension ref="A1:AB6"/>
  <sheetViews>
    <sheetView tabSelected="1" workbookViewId="0">
      <selection activeCell="P2" sqref="P2:P6"/>
    </sheetView>
  </sheetViews>
  <sheetFormatPr defaultRowHeight="14.4" x14ac:dyDescent="0.3"/>
  <cols>
    <col min="6" max="6" width="53.88671875" bestFit="1" customWidth="1"/>
    <col min="7" max="7" width="40.6640625" bestFit="1" customWidth="1"/>
    <col min="14" max="14" width="8.109375" bestFit="1" customWidth="1"/>
    <col min="15" max="15" width="12.44140625" bestFit="1" customWidth="1"/>
    <col min="16" max="16" width="12.44140625" customWidth="1"/>
  </cols>
  <sheetData>
    <row r="1" spans="1:28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66</v>
      </c>
      <c r="G1" s="1" t="s">
        <v>71</v>
      </c>
      <c r="H1" s="1" t="s">
        <v>46</v>
      </c>
      <c r="I1" s="2" t="s">
        <v>47</v>
      </c>
      <c r="J1" s="3" t="s">
        <v>48</v>
      </c>
      <c r="K1" s="1" t="s">
        <v>49</v>
      </c>
      <c r="L1" t="s">
        <v>50</v>
      </c>
      <c r="M1" t="s">
        <v>51</v>
      </c>
      <c r="N1" s="3" t="s">
        <v>52</v>
      </c>
      <c r="O1" s="1" t="s">
        <v>53</v>
      </c>
      <c r="P1" s="1" t="s">
        <v>72</v>
      </c>
      <c r="Q1" s="1" t="s">
        <v>54</v>
      </c>
      <c r="R1" s="1" t="s">
        <v>55</v>
      </c>
      <c r="S1" t="s">
        <v>56</v>
      </c>
      <c r="T1" s="1" t="s">
        <v>57</v>
      </c>
      <c r="U1" s="1" t="s">
        <v>58</v>
      </c>
      <c r="V1" t="s">
        <v>59</v>
      </c>
      <c r="W1" t="s">
        <v>60</v>
      </c>
      <c r="X1" t="s">
        <v>61</v>
      </c>
      <c r="Y1" t="s">
        <v>62</v>
      </c>
      <c r="Z1" s="1" t="s">
        <v>63</v>
      </c>
      <c r="AA1" t="s">
        <v>64</v>
      </c>
      <c r="AB1" t="s">
        <v>65</v>
      </c>
    </row>
    <row r="2" spans="1:2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tr">
        <f>_xlfn.TEXTAFTER(H2, "&gt;&gt;")</f>
        <v>ClC3=CC=C(C([C@@H]4O[C@H]4C5=CC=CC=C5)=O)C=C3</v>
      </c>
      <c r="G2" s="4" t="str">
        <f>_xlfn.TEXTBEFORE(H2, "&gt;&gt;")</f>
        <v>ClC1=CC=C(C(/C=C/C2=CC=CC=C2)=O)C=C1</v>
      </c>
      <c r="H2" t="s">
        <v>67</v>
      </c>
      <c r="I2" s="2" t="s">
        <v>5</v>
      </c>
      <c r="J2" s="2" t="s">
        <v>6</v>
      </c>
      <c r="K2">
        <v>0</v>
      </c>
      <c r="L2" t="s">
        <v>7</v>
      </c>
      <c r="M2" t="s">
        <v>8</v>
      </c>
      <c r="N2" s="2" t="s">
        <v>9</v>
      </c>
      <c r="O2" s="4">
        <v>93</v>
      </c>
      <c r="P2" s="4">
        <f>IF(O2&gt;0,1,0)</f>
        <v>1</v>
      </c>
      <c r="Q2">
        <v>96.5</v>
      </c>
      <c r="R2">
        <v>3.5</v>
      </c>
      <c r="S2" t="s">
        <v>10</v>
      </c>
      <c r="T2" t="s">
        <v>11</v>
      </c>
      <c r="U2" t="s">
        <v>12</v>
      </c>
      <c r="V2">
        <v>12</v>
      </c>
      <c r="W2">
        <v>20</v>
      </c>
      <c r="X2">
        <v>2.4E-2</v>
      </c>
      <c r="Y2">
        <v>0.2</v>
      </c>
      <c r="Z2" t="s">
        <v>13</v>
      </c>
      <c r="AA2" t="s">
        <v>14</v>
      </c>
      <c r="AB2" t="s">
        <v>15</v>
      </c>
    </row>
    <row r="3" spans="1:2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tr">
        <f t="shared" ref="F3:F6" si="0">_xlfn.TEXTAFTER(H3, "&gt;&gt;")</f>
        <v>O=C2CCC[C@@H]3O[C@H]23</v>
      </c>
      <c r="G3" s="4" t="str">
        <f>_xlfn.TEXTBEFORE(H3, "&gt;&gt;")</f>
        <v>O=C1CCCC=C1</v>
      </c>
      <c r="H3" t="s">
        <v>21</v>
      </c>
      <c r="I3" s="2" t="s">
        <v>5</v>
      </c>
      <c r="J3" s="2" t="s">
        <v>6</v>
      </c>
      <c r="K3">
        <v>0</v>
      </c>
      <c r="L3" t="s">
        <v>7</v>
      </c>
      <c r="M3" t="s">
        <v>22</v>
      </c>
      <c r="N3" s="2">
        <v>52</v>
      </c>
      <c r="O3" s="4">
        <v>44</v>
      </c>
      <c r="P3" s="4">
        <f t="shared" ref="P3:P6" si="1">IF(O3&gt;0,1,0)</f>
        <v>1</v>
      </c>
      <c r="Q3">
        <v>72</v>
      </c>
      <c r="R3">
        <v>28</v>
      </c>
      <c r="S3" t="s">
        <v>10</v>
      </c>
      <c r="T3" t="s">
        <v>11</v>
      </c>
      <c r="U3" t="s">
        <v>12</v>
      </c>
      <c r="V3">
        <v>12</v>
      </c>
      <c r="W3">
        <v>20</v>
      </c>
      <c r="X3">
        <v>2.4E-2</v>
      </c>
      <c r="Y3">
        <v>0.2</v>
      </c>
      <c r="Z3" t="s">
        <v>13</v>
      </c>
      <c r="AA3" t="s">
        <v>14</v>
      </c>
      <c r="AB3" t="s">
        <v>15</v>
      </c>
    </row>
    <row r="4" spans="1:28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tr">
        <f t="shared" si="0"/>
        <v>ClC3=CC=CC=C3C([C@@H]4O[C@H]4C5=CC=CC=C5)=O</v>
      </c>
      <c r="G4" s="4" t="str">
        <f>_xlfn.TEXTBEFORE(H4, "&gt;&gt;")</f>
        <v>ClC1=C(C=CC=C1)C(/C=C/C2=CC=CC=C2)=O</v>
      </c>
      <c r="H4" t="s">
        <v>68</v>
      </c>
      <c r="I4" s="2" t="s">
        <v>5</v>
      </c>
      <c r="J4" s="2" t="s">
        <v>6</v>
      </c>
      <c r="K4">
        <v>0</v>
      </c>
      <c r="L4" t="s">
        <v>7</v>
      </c>
      <c r="M4" t="s">
        <v>28</v>
      </c>
      <c r="N4" s="2">
        <v>59</v>
      </c>
      <c r="O4" s="4">
        <v>88</v>
      </c>
      <c r="P4" s="4">
        <f t="shared" si="1"/>
        <v>1</v>
      </c>
      <c r="Q4">
        <v>94</v>
      </c>
      <c r="R4">
        <v>6</v>
      </c>
      <c r="S4" t="s">
        <v>10</v>
      </c>
      <c r="T4" t="s">
        <v>11</v>
      </c>
      <c r="U4" t="s">
        <v>12</v>
      </c>
      <c r="V4">
        <v>12</v>
      </c>
      <c r="W4">
        <v>20</v>
      </c>
      <c r="X4">
        <v>2.4E-2</v>
      </c>
      <c r="Y4">
        <v>0.2</v>
      </c>
      <c r="Z4" t="s">
        <v>13</v>
      </c>
      <c r="AA4" t="s">
        <v>14</v>
      </c>
      <c r="AB4" t="s">
        <v>15</v>
      </c>
    </row>
    <row r="5" spans="1:28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tr">
        <f t="shared" si="0"/>
        <v>O=C(C4=CC=CC=C4)[C@@H]5O[C@H]5C6=CC7=CC=CC=C7O6</v>
      </c>
      <c r="G5" s="4" t="str">
        <f>_xlfn.TEXTBEFORE(H5, "&gt;&gt;")</f>
        <v>O=C(C1=CC=CC=C1)/C=C/C2=CC3=CC=CC=C3O2</v>
      </c>
      <c r="H5" t="s">
        <v>69</v>
      </c>
      <c r="I5" s="2" t="s">
        <v>5</v>
      </c>
      <c r="J5" s="2" t="s">
        <v>6</v>
      </c>
      <c r="K5">
        <v>0</v>
      </c>
      <c r="L5" t="s">
        <v>7</v>
      </c>
      <c r="M5" t="s">
        <v>8</v>
      </c>
      <c r="N5" s="2" t="s">
        <v>34</v>
      </c>
      <c r="O5" s="4">
        <v>99</v>
      </c>
      <c r="P5" s="4">
        <f t="shared" si="1"/>
        <v>1</v>
      </c>
      <c r="Q5">
        <v>99.5</v>
      </c>
      <c r="R5">
        <v>0.5</v>
      </c>
      <c r="S5" t="s">
        <v>10</v>
      </c>
      <c r="T5" t="s">
        <v>11</v>
      </c>
      <c r="U5" t="s">
        <v>12</v>
      </c>
      <c r="V5">
        <v>12</v>
      </c>
      <c r="W5">
        <v>20</v>
      </c>
      <c r="X5">
        <v>2.4E-2</v>
      </c>
      <c r="Y5">
        <v>0.2</v>
      </c>
      <c r="Z5" t="s">
        <v>13</v>
      </c>
      <c r="AA5" t="s">
        <v>14</v>
      </c>
      <c r="AB5" t="s">
        <v>15</v>
      </c>
    </row>
    <row r="6" spans="1:28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tr">
        <f t="shared" si="0"/>
        <v>CCCC[C@@H]2O[C@H]2C(C3=CC=CC=C3)=O</v>
      </c>
      <c r="G6" s="4" t="str">
        <f>_xlfn.TEXTBEFORE(H6, "&gt;&gt;")</f>
        <v>CCCC/C=C/C(C1=CC=CC=C1)=O</v>
      </c>
      <c r="H6" t="s">
        <v>70</v>
      </c>
      <c r="I6" s="2" t="s">
        <v>5</v>
      </c>
      <c r="J6" s="2" t="s">
        <v>6</v>
      </c>
      <c r="K6">
        <v>0</v>
      </c>
      <c r="L6" t="s">
        <v>7</v>
      </c>
      <c r="M6" t="s">
        <v>40</v>
      </c>
      <c r="N6" s="2">
        <v>88</v>
      </c>
      <c r="O6" s="4">
        <v>88</v>
      </c>
      <c r="P6" s="4">
        <f t="shared" si="1"/>
        <v>1</v>
      </c>
      <c r="Q6">
        <v>94</v>
      </c>
      <c r="R6">
        <v>6</v>
      </c>
      <c r="S6" t="s">
        <v>10</v>
      </c>
      <c r="T6" t="s">
        <v>11</v>
      </c>
      <c r="U6" t="s">
        <v>12</v>
      </c>
      <c r="V6">
        <v>12</v>
      </c>
      <c r="W6">
        <v>20</v>
      </c>
      <c r="X6">
        <v>2.4E-2</v>
      </c>
      <c r="Y6">
        <v>0.2</v>
      </c>
      <c r="Z6" t="s">
        <v>13</v>
      </c>
      <c r="AA6" t="s">
        <v>14</v>
      </c>
      <c r="A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2024-07-22T12:12:23Z</dcterms:created>
  <dcterms:modified xsi:type="dcterms:W3CDTF">2026-02-22T15:31:39Z</dcterms:modified>
</cp:coreProperties>
</file>